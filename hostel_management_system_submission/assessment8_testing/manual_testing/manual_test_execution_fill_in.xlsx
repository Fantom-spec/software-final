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egend" sheetId="1" state="visible" r:id="rId3"/>
    <sheet name="Execution" sheetId="2" state="visible" r:id="rId4"/>
    <sheet name="Guide" sheetId="3" state="visible" r:id="rId5"/>
    <sheet name="Summary" sheetId="4" state="visible" r:id="rId6"/>
    <sheet name="Example (do not use)" sheetId="5" state="visible" r:id="rId7"/>
  </sheets>
  <definedNames>
    <definedName function="false" hidden="true" localSheetId="1" name="_xlnm._FilterDatabase" vbProcedure="false">Execution!$A$1:$F$66</definedName>
    <definedName function="false" hidden="true" localSheetId="2" name="_xlnm._FilterDatabase" vbProcedure="false">Guide!$A$1:$K$66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<sst xmlns="http://schemas.openxmlformats.org/spreadsheetml/2006/main" count="948" uniqueCount="467">
  <si>
    <t xml:space="preserve">How to use this workbook</t>
  </si>
  <si>
    <t xml:space="preserve">1. Start the server and follow assessment8_testing/docs/TESTING_PROCEDURE.md sections 3 and 4. Run the cases in the order of the Execution sheet.</t>
  </si>
  <si>
    <t xml:space="preserve">2. Use the Guide sheet for the steps, input data and expected result of each case. Cases marked "Needs DevTools = Yes" require F12.</t>
  </si>
  <si>
    <t xml:space="preserve">3. After running a case, fill ONLY the yellow cells in its Execution row. Leave rows you have not run as N / Not Executed with the other columns empty.</t>
  </si>
  <si>
    <t xml:space="preserve">4. Take one screenshot of the decisive screen and save it as &lt;TC-ID&gt;.png (name in Guide column J) in assessment8_testing/manual_testing/evidence/ .</t>
  </si>
  <si>
    <t xml:space="preserve">5. When finished: File &gt; Save As &gt; CSV (the Execution sheet must be the active sheet), name it manual_test_execution.csv, replace the one in the project, then run python scripts/build_reports.py .</t>
  </si>
  <si>
    <t xml:space="preserve">Rules (from TESTING_PROCEDURE.md step 6-8)</t>
  </si>
  <si>
    <t xml:space="preserve">Status: Pass = actual equals expected. Fail = differs (add a row to defects.csv and put its DEF-0xx id in Defect ID). Blocked = could not run (say why in Actual Result).</t>
  </si>
  <si>
    <t xml:space="preserve">Actual Result: what you really saw; for a Pass a short factual description, not just "OK".</t>
  </si>
  <si>
    <t xml:space="preserve">Date format YYYY-MM-DD. Build / commit tested: e.g. the zip or folder name.</t>
  </si>
  <si>
    <t xml:space="preserve">Never record a result you did not observe. The red TC-ID cell on the Execution sheet and the Summary counters flag rows the report builder would reject.</t>
  </si>
  <si>
    <t xml:space="preserve">Example of a correctly filled row (EXAMPLE ONLY - not data for any case; do not copy the values)</t>
  </si>
  <si>
    <t xml:space="preserve">See sheet "Example (do not use)" for one illustrated row.</t>
  </si>
  <si>
    <t xml:space="preserve">TC-ID</t>
  </si>
  <si>
    <t xml:space="preserve">Executed (Y/N)</t>
  </si>
  <si>
    <t xml:space="preserve">Status</t>
  </si>
  <si>
    <t xml:space="preserve">Actual Result</t>
  </si>
  <si>
    <t xml:space="preserve">Evidence (screenshot / file)</t>
  </si>
  <si>
    <t xml:space="preserve">Defect ID</t>
  </si>
  <si>
    <t xml:space="preserve">AUTH-01</t>
  </si>
  <si>
    <t xml:space="preserve">Y</t>
  </si>
  <si>
    <t xml:space="preserve">Pass</t>
  </si>
  <si>
    <t xml:space="preserve">Redirected to the Admin Dashboard; message "Welcome, Admin User!" is shown; sidebar shows the admin menu.</t>
  </si>
  <si>
    <t xml:space="preserve">AUTH-02</t>
  </si>
  <si>
    <t xml:space="preserve">Redirected to the Warden Dashboard; message "Welcome, Warden Smith!" is shown.</t>
  </si>
  <si>
    <t xml:space="preserve">AUTH-03</t>
  </si>
  <si>
    <t xml:space="preserve">Redirected to the Student Dashboard; message "Welcome, John Doe!" is shown.</t>
  </si>
  <si>
    <t xml:space="preserve">AUTH-04</t>
  </si>
  <si>
    <t xml:space="preserve">Stay on the login page; error "Invalid email or password." is shown; no session is created.</t>
  </si>
  <si>
    <t xml:space="preserve">AUTH-05</t>
  </si>
  <si>
    <t xml:space="preserve">Same error "Invalid email or password." (the message must not reveal whether the account exists).</t>
  </si>
  <si>
    <t xml:space="preserve">AUTH-06</t>
  </si>
  <si>
    <t xml:space="preserve">After step 1: login page with "You have been logged out."; after step 2: redirected to the login page with "Please log in to access this page."</t>
  </si>
  <si>
    <t xml:space="preserve">AUTH-07</t>
  </si>
  <si>
    <t xml:space="preserve">Every URL redirects to the login page with "Please log in to access this page."</t>
  </si>
  <si>
    <t xml:space="preserve">AUTH-09</t>
  </si>
  <si>
    <t xml:space="preserve">Attempts 1-5: "Invalid email or password."; attempt 6 (even with the correct password): "Too many failed login attempts. Try again in about 15 minute(s)."; step 3 (a different account) still works.</t>
  </si>
  <si>
    <t xml:space="preserve">AUTH-10</t>
  </si>
  <si>
    <t xml:space="preserve">Step 1 shows "Method Not Allowed" (HTTP 405). Step 2 shows the dashboard: you are still logged in.</t>
  </si>
  <si>
    <t xml:space="preserve">ALLOC-01</t>
  </si>
  <si>
    <t xml:space="preserve">Redirected to the allocation list; message "Room 101 allocated to John Doe successfully."; list shows John Doe, Block A, room 101, Status Active, End "—".</t>
  </si>
  <si>
    <t xml:space="preserve">ALLOC-08</t>
  </si>
  <si>
    <t xml:space="preserve">Success message for room 101 and Jane Smith; list shows the end date. Room Block A 101 is now 2/2.</t>
  </si>
  <si>
    <t xml:space="preserve">OCC-01</t>
  </si>
  <si>
    <t xml:space="preserve">Block A 101 shows 2 of 2 beds occupied and status Full.</t>
  </si>
  <si>
    <t xml:space="preserve">ALLOC-05</t>
  </si>
  <si>
    <t xml:space="preserve">Error "Student John Doe already has an active room allocation."; no new row in the allocation list.</t>
  </si>
  <si>
    <t xml:space="preserve">ALLOC-15</t>
  </si>
  <si>
    <t xml:space="preserve">The form is shown again with Student = John Doe, Room = Block B 101 and the start date still selected (you do not have to re-enter everything).</t>
  </si>
  <si>
    <t xml:space="preserve">ALLOC-11</t>
  </si>
  <si>
    <t xml:space="preserve">Success message "Room 102 allocated to Bob Wilson successfully."</t>
  </si>
  <si>
    <t xml:space="preserve">ALLOC-09</t>
  </si>
  <si>
    <t xml:space="preserve">Success message "Room 201 allocated to Carlos Diaz successfully."</t>
  </si>
  <si>
    <t xml:space="preserve">ALLOC-06</t>
  </si>
  <si>
    <t xml:space="preserve">The form is not submitted: the empty required fields are highlighted/flagged and the Create allocation button is still clickable (it must not stay stuck on "Processing..."). (If you bypass the browser check the server answers "Student, room, and start date are required.")</t>
  </si>
  <si>
    <t xml:space="preserve">ALLOC-10</t>
  </si>
  <si>
    <t xml:space="preserve">Submission refused: either the browser/JS shows a validation message ("End date cannot be earlier than start date.") or the server shows it; the button stays clickable; no allocation created.</t>
  </si>
  <si>
    <t xml:space="preserve">REALLOC-01</t>
  </si>
  <si>
    <t xml:space="preserve">Message "Student reallocated to room 101 successfully."; list shows John in Block B. Rooms page: Block A 101 is now 1/2 and Available; Block B 101 is 1/3.</t>
  </si>
  <si>
    <t xml:space="preserve">OCC-02</t>
  </si>
  <si>
    <t xml:space="preserve">Block A 101 shows 1 of 2 beds occupied and status Available.</t>
  </si>
  <si>
    <t xml:space="preserve">REALLOC-03</t>
  </si>
  <si>
    <t xml:space="preserve">Block A 102 (full) is not in the list; only rooms with a free bed are offered.</t>
  </si>
  <si>
    <t xml:space="preserve">REALLOC-04</t>
  </si>
  <si>
    <t xml:space="preserve">Not submitted (field flagged) and the Reallocate button stays clickable; if bypassed the server says "New room is required."</t>
  </si>
  <si>
    <t xml:space="preserve">CANCEL-02</t>
  </si>
  <si>
    <t xml:space="preserve">A modal "Please confirm - Are you sure you want to cancel this allocation?" appears; after Go back the dialog closes and the allocation is still Active.</t>
  </si>
  <si>
    <t xml:space="preserve">CANCEL-01</t>
  </si>
  <si>
    <t xml:space="preserve">Message "Allocation cancelled successfully."; Carlos no longer appears under Status = Active; Block A 201 shows 0 of 2 beds.</t>
  </si>
  <si>
    <t xml:space="preserve">CANCEL-04</t>
  </si>
  <si>
    <t xml:space="preserve">Carlos Diaz is listed with status Cancelled and there are no Reallocate/Cancel buttons on that row.</t>
  </si>
  <si>
    <t xml:space="preserve">LIST-01</t>
  </si>
  <si>
    <t xml:space="preserve">Step 1: only Jane Smith's row; step 2: "No allocations found."</t>
  </si>
  <si>
    <t xml:space="preserve">LIST-02</t>
  </si>
  <si>
    <t xml:space="preserve">Step 1 lists only Block B rows; step 2 lists only cancelled allocations.</t>
  </si>
  <si>
    <t xml:space="preserve">AVAIL-01</t>
  </si>
  <si>
    <t xml:space="preserve">Block A 102 (full) is NOT listed; Block A 101 is listed with its free beds.</t>
  </si>
  <si>
    <t xml:space="preserve">AVAIL-03</t>
  </si>
  <si>
    <t xml:space="preserve">Step 1: Block A 102 appears marked full. Step 2: only Block B rooms are shown (no Block A rooms, full or not).</t>
  </si>
  <si>
    <t xml:space="preserve">OCC-03</t>
  </si>
  <si>
    <t xml:space="preserve">Block A 102 is not offered.</t>
  </si>
  <si>
    <t xml:space="preserve">AVAIL-02</t>
  </si>
  <si>
    <t xml:space="preserve">Page loads; no allocation actions are offered.</t>
  </si>
  <si>
    <t xml:space="preserve">STUDENT-01</t>
  </si>
  <si>
    <t xml:space="preserve">Page shows John Doe's room and block (Block B 101 after REALLOC-01).</t>
  </si>
  <si>
    <t xml:space="preserve">STUDENT-02</t>
  </si>
  <si>
    <t xml:space="preserve">Redirected to the dashboard with "You can only view your own allocation."</t>
  </si>
  <si>
    <t xml:space="preserve">AUTHZ-01</t>
  </si>
  <si>
    <t xml:space="preserve">All pages load without a permission error.</t>
  </si>
  <si>
    <t xml:space="preserve">AUTHZ-02</t>
  </si>
  <si>
    <t xml:space="preserve">All pages load.</t>
  </si>
  <si>
    <t xml:space="preserve">AUTHZ-03</t>
  </si>
  <si>
    <t xml:space="preserve">Each redirects to the dashboard with "You do not have permission to access this page."</t>
  </si>
  <si>
    <t xml:space="preserve">AUTHZ-05</t>
  </si>
  <si>
    <t xml:space="preserve">Redirected with "You do not have permission to access this page."</t>
  </si>
  <si>
    <t xml:space="preserve">AUTHZ-07</t>
  </si>
  <si>
    <t xml:space="preserve">Both redirect with "You do not have permission to access this page."</t>
  </si>
  <si>
    <t xml:space="preserve">AUTHZ-10</t>
  </si>
  <si>
    <t xml:space="preserve">SEC-01</t>
  </si>
  <si>
    <t xml:space="preserve">Page renders normally ("No allocations found." or a normal list); no error page; Rooms page still shows all rooms.</t>
  </si>
  <si>
    <t xml:space="preserve">SEC-03</t>
  </si>
  <si>
    <t xml:space="preserve">No alert box appears; the text is displayed as plain text in the search field (escaped).</t>
  </si>
  <si>
    <t xml:space="preserve">SEC-06</t>
  </si>
  <si>
    <t xml:space="preserve">Warden Dashboard shows the warden's name and no admin-only content.</t>
  </si>
  <si>
    <t xml:space="preserve">SEC-07</t>
  </si>
  <si>
    <t xml:space="preserve">No demo accounts or passwords are listed on the page.</t>
  </si>
  <si>
    <t xml:space="preserve">DASH-01</t>
  </si>
  <si>
    <t xml:space="preserve">Admin: Total Students = 6 and Total Rooms = 6 equal what the Students and Rooms pages show; active allocations and occupancy bar agree with the Allocations list. Student: shows own room.</t>
  </si>
  <si>
    <t xml:space="preserve">UI-02</t>
  </si>
  <si>
    <t xml:space="preserve">Admin and warden: Dashboard, Allocations, Available Rooms, Rooms, Students. Student: Dashboard, Available Rooms, My Allocation. "My Allocation" never appears for admin/warden.</t>
  </si>
  <si>
    <t xml:space="preserve">UI-03</t>
  </si>
  <si>
    <t xml:space="preserve">Exactly one Logout control. After Back the dashboard content is NOT shown; you are sent to the login page.</t>
  </si>
  <si>
    <t xml:space="preserve">ADD-01</t>
  </si>
  <si>
    <t xml:space="preserve">Redirected to the Rooms page with the message "Block "Block C" added."; Block C appears in the block filter of Allocations.</t>
  </si>
  <si>
    <t xml:space="preserve">ADD-02</t>
  </si>
  <si>
    <t xml:space="preserve">Message "Room 301 added to Block C."; the Rooms table shows Block C 301 with 0 / 2 beds" and status Available; the New Allocation room list offers it."</t>
  </si>
  <si>
    <t xml:space="preserve">ADD-03</t>
  </si>
  <si>
    <t xml:space="preserve">Message "Student Frank Green (STU900) added."; Frank appears in the Students list with no allocation; the new login works and shows the student menu (Dashboard, Available Rooms, My Allocation).</t>
  </si>
  <si>
    <t xml:space="preserve">ADD-04</t>
  </si>
  <si>
    <t xml:space="preserve">1: "A user with e-mail john@student.test already exists."; 2: "Roll number STU900 is already in use."; 3: "Password must be 8 to 128 characters long."; 4: "Room 301 already exists in Block C."; 5: "A block named "block c" already exists." Every form is shown again with your entries kept (passwords are never refilled); nothing is created.</t>
  </si>
  <si>
    <t xml:space="preserve">ADD-05</t>
  </si>
  <si>
    <t xml:space="preserve">Warden sees no Add buttons; both URLs redirect to the dashboard with "You do not have permission to access this page."</t>
  </si>
  <si>
    <t xml:space="preserve">Priority</t>
  </si>
  <si>
    <t xml:space="preserve">Module</t>
  </si>
  <si>
    <t xml:space="preserve">Scenario</t>
  </si>
  <si>
    <t xml:space="preserve">Technique</t>
  </si>
  <si>
    <t xml:space="preserve">Preconditions</t>
  </si>
  <si>
    <t xml:space="preserve">Steps</t>
  </si>
  <si>
    <t xml:space="preserve">Input Data</t>
  </si>
  <si>
    <t xml:space="preserve">Expected Result</t>
  </si>
  <si>
    <t xml:space="preserve">Suggested evidence file</t>
  </si>
  <si>
    <t xml:space="preserve">Needs DevTools (F12)</t>
  </si>
  <si>
    <t xml:space="preserve">P1</t>
  </si>
  <si>
    <t xml:space="preserve">Authentication</t>
  </si>
  <si>
    <t xml:space="preserve">Valid admin login</t>
  </si>
  <si>
    <t xml:space="preserve">UI only</t>
  </si>
  <si>
    <t xml:space="preserve">Server started with DEMO data (see TESTING_PROCEDURE.md section 3). Not logged in.</t>
  </si>
  <si>
    <t xml:space="preserve">1. Open http://127.0.0.1:5000/auth/login
2. Enter the admin e-mail and password
3. Click Login</t>
  </si>
  <si>
    <t xml:space="preserve">admin@hms.test / admin123</t>
  </si>
  <si>
    <t xml:space="preserve">AUTH-01.png</t>
  </si>
  <si>
    <t xml:space="preserve">No</t>
  </si>
  <si>
    <t xml:space="preserve">P2</t>
  </si>
  <si>
    <t xml:space="preserve">Valid warden login</t>
  </si>
  <si>
    <t xml:space="preserve">Not logged in.</t>
  </si>
  <si>
    <t xml:space="preserve">1. Open the login page
2. Enter the warden e-mail and password
3. Click Login</t>
  </si>
  <si>
    <t xml:space="preserve">warden@hms.test / warden123</t>
  </si>
  <si>
    <t xml:space="preserve">AUTH-02.png</t>
  </si>
  <si>
    <t xml:space="preserve">Valid student login</t>
  </si>
  <si>
    <t xml:space="preserve">1. Open the login page
2. Enter the student e-mail and password
3. Click Login</t>
  </si>
  <si>
    <t xml:space="preserve">john@student.test / student123</t>
  </si>
  <si>
    <t xml:space="preserve">AUTH-03.png</t>
  </si>
  <si>
    <t xml:space="preserve">Wrong password rejected</t>
  </si>
  <si>
    <t xml:space="preserve">1. Open the login page
2. Enter admin@hms.test with password "wrong-password"
3. Click Login</t>
  </si>
  <si>
    <t xml:space="preserve">admin@hms.test / wrong-password</t>
  </si>
  <si>
    <t xml:space="preserve">AUTH-04.png</t>
  </si>
  <si>
    <t xml:space="preserve">Unknown user rejected</t>
  </si>
  <si>
    <t xml:space="preserve">1. Open the login page
2. Enter nobody@example.com with any password
3. Click Login</t>
  </si>
  <si>
    <t xml:space="preserve">nobody@example.com / x</t>
  </si>
  <si>
    <t xml:space="preserve">AUTH-05.png</t>
  </si>
  <si>
    <t xml:space="preserve">Logout ends the session</t>
  </si>
  <si>
    <t xml:space="preserve">Logged in as admin.</t>
  </si>
  <si>
    <t xml:space="preserve">1. Click Logout at the bottom of the sidebar
2. In the address bar open http://127.0.0.1:5000/allocation/</t>
  </si>
  <si>
    <t xml:space="preserve">AUTH-06.png</t>
  </si>
  <si>
    <t xml:space="preserve">Anonymous access is blocked</t>
  </si>
  <si>
    <t xml:space="preserve">1. Open http://127.0.0.1:5000/
2. Open /allocation/
3. Open /rooms</t>
  </si>
  <si>
    <t xml:space="preserve">AUTH-07.png</t>
  </si>
  <si>
    <t xml:space="preserve">AUTH-08</t>
  </si>
  <si>
    <t xml:space="preserve">Login requires a CSRF token</t>
  </si>
  <si>
    <t xml:space="preserve">UI + browser DevTools</t>
  </si>
  <si>
    <t xml:space="preserve">Not logged in; browser DevTools open.</t>
  </si>
  <si>
    <t xml:space="preserve">1. Open the login page
2. In DevTools &gt; Elements delete the hidden &lt;input name="csrf_token"&gt;
3. Enter valid admin credentials and click Login</t>
  </si>
  <si>
    <t xml:space="preserve">The server rejects the request: page titled "Your request could not be verified" (HTTP 400, visible in the DevTools Network tab). You are not logged in.</t>
  </si>
  <si>
    <t xml:space="preserve">AUTH-08.png</t>
  </si>
  <si>
    <t xml:space="preserve">Yes</t>
  </si>
  <si>
    <t xml:space="preserve">Lockout after repeated failed logins</t>
  </si>
  <si>
    <t xml:space="preserve">Restart the server with LOGIN_MAX_ATTEMPTS=5 (TESTING_PROCEDURE.md section 3). Not logged in.</t>
  </si>
  <si>
    <t xml:space="preserve">1. Submit the login form 5 times with dana@student.test and a wrong password
2. Submit a 6th time with the CORRECT password (student123)
3. Log in with john@student.test / student123</t>
  </si>
  <si>
    <t xml:space="preserve">dana@student.test</t>
  </si>
  <si>
    <t xml:space="preserve">AUTH-09.png</t>
  </si>
  <si>
    <t xml:space="preserve">Logout is not possible via a link (GET)</t>
  </si>
  <si>
    <t xml:space="preserve">1. In the address bar open http://127.0.0.1:5000/auth/logout
2. Open http://127.0.0.1:5000/</t>
  </si>
  <si>
    <t xml:space="preserve">AUTH-10.png</t>
  </si>
  <si>
    <t xml:space="preserve">Allocation</t>
  </si>
  <si>
    <t xml:space="preserve">Allocate a student, open-ended</t>
  </si>
  <si>
    <t xml:space="preserve">Logged in as admin. Fresh demo data without allocations. No allocations exist.</t>
  </si>
  <si>
    <t xml:space="preserve">1. Sidebar &gt; Allocations &gt; New Allocation
2. Student: John Doe; Room: Block A, room 101
3. Leave the start date at today; leave End date empty
4. Click Create allocation</t>
  </si>
  <si>
    <t xml:space="preserve">John Doe -&gt; Block A / 101</t>
  </si>
  <si>
    <t xml:space="preserve">ALLOC-01.png</t>
  </si>
  <si>
    <t xml:space="preserve">Allocate with an end date</t>
  </si>
  <si>
    <t xml:space="preserve">ALLOC-01 done.</t>
  </si>
  <si>
    <t xml:space="preserve">1. New Allocation
2. Student: Jane Smith; Room: Block A, room 101
3. Start: today; End: today + 90 days
4. Create allocation</t>
  </si>
  <si>
    <t xml:space="preserve">Jane Smith -&gt; Block A / 101</t>
  </si>
  <si>
    <t xml:space="preserve">ALLOC-08.png</t>
  </si>
  <si>
    <t xml:space="preserve">Occupancy</t>
  </si>
  <si>
    <t xml:space="preserve">Room becomes Full at capacity</t>
  </si>
  <si>
    <t xml:space="preserve">ALLOC-01 and ALLOC-08 done.</t>
  </si>
  <si>
    <t xml:space="preserve">1. Sidebar &gt; Rooms
2. Find Block A room 101</t>
  </si>
  <si>
    <t xml:space="preserve">OCC-01.png</t>
  </si>
  <si>
    <t xml:space="preserve">Student with an active allocation cannot get a second</t>
  </si>
  <si>
    <t xml:space="preserve">ALLOC-01 done (John has an active allocation).</t>
  </si>
  <si>
    <t xml:space="preserve">1. New Allocation
2. Student: John Doe; Room: Block B, room 101
3. Create allocation</t>
  </si>
  <si>
    <t xml:space="preserve">John Doe -&gt; Block B / 101</t>
  </si>
  <si>
    <t xml:space="preserve">ALLOC-05.png</t>
  </si>
  <si>
    <t xml:space="preserve">Form keeps your input after a server-side error</t>
  </si>
  <si>
    <t xml:space="preserve">Immediately after ALLOC-05.</t>
  </si>
  <si>
    <t xml:space="preserve">1. Look at the New Allocation form that is displayed together with the error</t>
  </si>
  <si>
    <t xml:space="preserve">ALLOC-15.png</t>
  </si>
  <si>
    <t xml:space="preserve">Start date equal to end date is accepted</t>
  </si>
  <si>
    <t xml:space="preserve">1. New Allocation
2. Student: Bob Wilson; Room: Block A, room 102
3. Start: today; End: today
4. Create allocation</t>
  </si>
  <si>
    <t xml:space="preserve">Bob Wilson -&gt; Block A / 102</t>
  </si>
  <si>
    <t xml:space="preserve">ALLOC-11.png</t>
  </si>
  <si>
    <t xml:space="preserve">ALLOC-02</t>
  </si>
  <si>
    <t xml:space="preserve">Allocating to a room that filled up meanwhile is refused</t>
  </si>
  <si>
    <t xml:space="preserve">Block A 102 has exactly 1 free bed (Bob only). Two browser tabs on the New Allocation form, both opened BEFORE step 1 (both list Block A 102).</t>
  </si>
  <si>
    <t xml:space="preserve">1. Tab 1: allocate Alice Brown to Block A 102 and submit (succeeds, room now full)
2. Tab 2 (stale form, still lists room 102): select Carlos Diaz and Block A 102, submit</t>
  </si>
  <si>
    <t xml:space="preserve">Carlos Diaz -&gt; Block A / 102 (stale form)</t>
  </si>
  <si>
    <t xml:space="preserve">Tab 2 shows error "Room 102 is not available (capacity: 2, occupied: 2)."; Carlos has no allocation; room 102 stays 2/2.</t>
  </si>
  <si>
    <t xml:space="preserve">ALLOC-02.png</t>
  </si>
  <si>
    <t xml:space="preserve">Warden can create an allocation</t>
  </si>
  <si>
    <t xml:space="preserve">Logged in as WARDEN (log out first).</t>
  </si>
  <si>
    <t xml:space="preserve">1. New Allocation
2. Student: Carlos Diaz; Room: Block A, room 201
3. Create allocation</t>
  </si>
  <si>
    <t xml:space="preserve">warden@hms.test / warden123 / Carlos Diaz -&gt; Block A / 201</t>
  </si>
  <si>
    <t xml:space="preserve">ALLOC-09.png</t>
  </si>
  <si>
    <t xml:space="preserve">ALLOC-03</t>
  </si>
  <si>
    <t xml:space="preserve">Non-existent student id is rejected</t>
  </si>
  <si>
    <t xml:space="preserve">1. Open New Allocation
2. In DevTools change the value of one &lt;option&gt; in the Student select to 99999
3. Select that option, choose a room, submit</t>
  </si>
  <si>
    <t xml:space="preserve">student_id=99999</t>
  </si>
  <si>
    <t xml:space="preserve">Error "Selected student does not exist."; nothing created.</t>
  </si>
  <si>
    <t xml:space="preserve">ALLOC-03.png</t>
  </si>
  <si>
    <t xml:space="preserve">ALLOC-04</t>
  </si>
  <si>
    <t xml:space="preserve">Non-existent room id is rejected</t>
  </si>
  <si>
    <t xml:space="preserve">1. Open New Allocation
2. In DevTools change the value of one &lt;option&gt; in the Room select to 99999
3. Select a student and that room option, submit</t>
  </si>
  <si>
    <t xml:space="preserve">room_id=99999</t>
  </si>
  <si>
    <t xml:space="preserve">Error "Selected room does not exist."; nothing created.</t>
  </si>
  <si>
    <t xml:space="preserve">ALLOC-04.png</t>
  </si>
  <si>
    <t xml:space="preserve">Required fields</t>
  </si>
  <si>
    <t xml:space="preserve">1. Open New Allocation
2. Leave Student and Room unselected
3. Click Create allocation</t>
  </si>
  <si>
    <t xml:space="preserve">ALLOC-06.png</t>
  </si>
  <si>
    <t xml:space="preserve">ALLOC-07</t>
  </si>
  <si>
    <t xml:space="preserve">Invalid date text is rejected</t>
  </si>
  <si>
    <t xml:space="preserve">1. Open New Allocation
2. In DevTools change the Start date &lt;input type="date"&gt; to type="text"
3. Type 2026-13-45; select student and room; submit</t>
  </si>
  <si>
    <t xml:space="preserve">2026-13-45</t>
  </si>
  <si>
    <t xml:space="preserve">Error "Invalid date format. Use YYYY-MM-DD."; nothing created; entered values kept.</t>
  </si>
  <si>
    <t xml:space="preserve">ALLOC-07.png</t>
  </si>
  <si>
    <t xml:space="preserve">End date before start date is rejected</t>
  </si>
  <si>
    <t xml:space="preserve">1. Open New Allocation
2. Choose a student without allocation (Dana Evans) and any available room
3. Start: today + 10 days; End: today + 5 days
4. Submit</t>
  </si>
  <si>
    <t xml:space="preserve">start &gt; end</t>
  </si>
  <si>
    <t xml:space="preserve">ALLOC-10.png</t>
  </si>
  <si>
    <t xml:space="preserve">ALLOC-14</t>
  </si>
  <si>
    <t xml:space="preserve">Dates outside 2000-2100 are rejected</t>
  </si>
  <si>
    <t xml:space="preserve">1. Open New Allocation
2. In DevTools change Start date to type="text" and enter 1900-01-01; choose Dana Evans and a room; submit
3. Repeat with 9999-12-31</t>
  </si>
  <si>
    <t xml:space="preserve">1900-01-01 / 9999-12-31</t>
  </si>
  <si>
    <t xml:space="preserve">Error "Dates must be between 2000-01-01 and 2100-12-31." both times; nothing created.</t>
  </si>
  <si>
    <t xml:space="preserve">ALLOC-14.png</t>
  </si>
  <si>
    <t xml:space="preserve">ALLOC-13</t>
  </si>
  <si>
    <t xml:space="preserve">Create requires a CSRF token</t>
  </si>
  <si>
    <t xml:space="preserve">1. Open New Allocation and fill it with valid data (Dana Evans, Block A 202)
2. In DevTools delete the hidden &lt;input name="csrf_token"&gt;
3. Submit</t>
  </si>
  <si>
    <t xml:space="preserve">Page "Your request could not be verified" (HTTP 400); no allocation created for Dana Evans.</t>
  </si>
  <si>
    <t xml:space="preserve">ALLOC-13.png</t>
  </si>
  <si>
    <t xml:space="preserve">Reallocation</t>
  </si>
  <si>
    <t xml:space="preserve">Reallocate to a room with a free bed</t>
  </si>
  <si>
    <t xml:space="preserve">John has an active allocation in Block A 101 (full 2/2).</t>
  </si>
  <si>
    <t xml:space="preserve">1. Allocations list &gt; click the Reallocate icon on John Doe
2. New room: Block B, room 101
3. Click Reallocate</t>
  </si>
  <si>
    <t xml:space="preserve">John: A/101 -&gt; B/101</t>
  </si>
  <si>
    <t xml:space="preserve">REALLOC-01.png</t>
  </si>
  <si>
    <t xml:space="preserve">Room becomes Available again when a bed is freed</t>
  </si>
  <si>
    <t xml:space="preserve">Right after REALLOC-01.</t>
  </si>
  <si>
    <t xml:space="preserve">OCC-02.png</t>
  </si>
  <si>
    <t xml:space="preserve">Full rooms are not offered</t>
  </si>
  <si>
    <t xml:space="preserve">Block A 102 is full (Bob + Alice from ALLOC-02).</t>
  </si>
  <si>
    <t xml:space="preserve">1. Click Reallocate on Carlos Diaz
2. Open the "New room" drop-down</t>
  </si>
  <si>
    <t xml:space="preserve">REALLOC-03.png</t>
  </si>
  <si>
    <t xml:space="preserve">REALLOC-06</t>
  </si>
  <si>
    <t xml:space="preserve">P3</t>
  </si>
  <si>
    <t xml:space="preserve">Reallocating to the same room is refused</t>
  </si>
  <si>
    <t xml:space="preserve">Jane Smith is allocated to Block A 101 (room id 1 in the demo data).</t>
  </si>
  <si>
    <t xml:space="preserve">1. Click Reallocate on Jane Smith (her current room is not offered in the list)
2. In DevTools &gt; Elements change the value of any one &lt;option&gt; in the "New room" select to 1 (the id of Block A 101)
3. Select that option and click Reallocate</t>
  </si>
  <si>
    <t xml:space="preserve">new_room_id=1 (her current room)</t>
  </si>
  <si>
    <t xml:space="preserve">Error "Student is already in that room. Choose a different room."; no change to the allocation or room counters.</t>
  </si>
  <si>
    <t xml:space="preserve">REALLOC-06.png</t>
  </si>
  <si>
    <t xml:space="preserve">Room is required</t>
  </si>
  <si>
    <t xml:space="preserve">Reallocate form open.</t>
  </si>
  <si>
    <t xml:space="preserve">1. Leave "Select new room" selected
2. Click Reallocate</t>
  </si>
  <si>
    <t xml:space="preserve">REALLOC-04.png</t>
  </si>
  <si>
    <t xml:space="preserve">REALLOC-02</t>
  </si>
  <si>
    <t xml:space="preserve">1. In DevTools change an &lt;option&gt; value to 99999
2. Select it and click Reallocate</t>
  </si>
  <si>
    <t xml:space="preserve">Error "Selected room does not exist."; allocation unchanged.</t>
  </si>
  <si>
    <t xml:space="preserve">REALLOC-02.png</t>
  </si>
  <si>
    <t xml:space="preserve">REALLOC-05</t>
  </si>
  <si>
    <t xml:space="preserve">Reallocate requires a CSRF token</t>
  </si>
  <si>
    <t xml:space="preserve">1. Delete the hidden csrf_token input in DevTools
2. Choose a room; click Reallocate</t>
  </si>
  <si>
    <t xml:space="preserve">Page "Your request could not be verified" (HTTP 400); allocation unchanged.</t>
  </si>
  <si>
    <t xml:space="preserve">REALLOC-05.png</t>
  </si>
  <si>
    <t xml:space="preserve">Cancellation</t>
  </si>
  <si>
    <t xml:space="preserve">"Go back" keeps the allocation</t>
  </si>
  <si>
    <t xml:space="preserve">Active allocation exists (Carlos Diaz, Block A 201).</t>
  </si>
  <si>
    <t xml:space="preserve">1. Allocations list &gt; click the red Cancel (x) icon on Carlos Diaz
2. In the dialog click "Go back"</t>
  </si>
  <si>
    <t xml:space="preserve">CANCEL-02.png</t>
  </si>
  <si>
    <t xml:space="preserve">Confirm cancels and frees the bed</t>
  </si>
  <si>
    <t xml:space="preserve">As CANCEL-02.</t>
  </si>
  <si>
    <t xml:space="preserve">1. Click the Cancel (x) icon on Carlos Diaz again
2. Click "Confirm"</t>
  </si>
  <si>
    <t xml:space="preserve">CANCEL-01.png</t>
  </si>
  <si>
    <t xml:space="preserve">Cancelled allocations offer no actions</t>
  </si>
  <si>
    <t xml:space="preserve">CANCEL-01 done.</t>
  </si>
  <si>
    <t xml:space="preserve">1. Allocations list &gt; set Status filter to Cancelled &gt; Filter</t>
  </si>
  <si>
    <t xml:space="preserve">CANCEL-04.png</t>
  </si>
  <si>
    <t xml:space="preserve">CANCEL-03</t>
  </si>
  <si>
    <t xml:space="preserve">Cancel requires a CSRF token</t>
  </si>
  <si>
    <t xml:space="preserve">Active allocation exists (e.g. Bob Wilson).</t>
  </si>
  <si>
    <t xml:space="preserve">1. In DevTools delete the hidden csrf_token input inside the Cancel form of Bob Wilson
2. Click Cancel and Confirm</t>
  </si>
  <si>
    <t xml:space="preserve">Page "Your request could not be verified" (HTTP 400); Bob's allocation is still Active.</t>
  </si>
  <si>
    <t xml:space="preserve">CANCEL-03.png</t>
  </si>
  <si>
    <t xml:space="preserve">Allocation list</t>
  </si>
  <si>
    <t xml:space="preserve">Search filters the list</t>
  </si>
  <si>
    <t xml:space="preserve">Several active allocations.</t>
  </si>
  <si>
    <t xml:space="preserve">1. Allocations list &gt; type "Jane" in the search box &gt; Filter
2. Search "nobody-matches"</t>
  </si>
  <si>
    <t xml:space="preserve">Jane / nobody-matches</t>
  </si>
  <si>
    <t xml:space="preserve">LIST-01.png</t>
  </si>
  <si>
    <t xml:space="preserve">Block and status filters</t>
  </si>
  <si>
    <t xml:space="preserve">Active and cancelled allocations exist.</t>
  </si>
  <si>
    <t xml:space="preserve">1. Select Block B &gt; Filter
2. Select Status Cancelled &gt; Filter</t>
  </si>
  <si>
    <t xml:space="preserve">LIST-02.png</t>
  </si>
  <si>
    <t xml:space="preserve">Available rooms</t>
  </si>
  <si>
    <t xml:space="preserve">Only rooms with free beds are listed</t>
  </si>
  <si>
    <t xml:space="preserve">Block A 101 (1/2), Block A 102 (full).</t>
  </si>
  <si>
    <t xml:space="preserve">1. Sidebar &gt; Available Rooms</t>
  </si>
  <si>
    <t xml:space="preserve">AVAIL-01.png</t>
  </si>
  <si>
    <t xml:space="preserve">Block filter and "Show full rooms"</t>
  </si>
  <si>
    <t xml:space="preserve">As AVAIL-01.</t>
  </si>
  <si>
    <t xml:space="preserve">1. Tick "Show full rooms"
2. Choose Block B in the block drop-down</t>
  </si>
  <si>
    <t xml:space="preserve">AVAIL-03.png</t>
  </si>
  <si>
    <t xml:space="preserve">Full rooms cannot be picked when creating</t>
  </si>
  <si>
    <t xml:space="preserve">Block A 102 is full.</t>
  </si>
  <si>
    <t xml:space="preserve">1. New Allocation &gt; open the Room drop-down</t>
  </si>
  <si>
    <t xml:space="preserve">OCC-03.png</t>
  </si>
  <si>
    <t xml:space="preserve">Student can view available rooms (read-only)</t>
  </si>
  <si>
    <t xml:space="preserve">Logged in as student.</t>
  </si>
  <si>
    <t xml:space="preserve">AVAIL-02.png</t>
  </si>
  <si>
    <t xml:space="preserve">Student view</t>
  </si>
  <si>
    <t xml:space="preserve">Student sees own allocation</t>
  </si>
  <si>
    <t xml:space="preserve">Logged in as John Doe (allocated).</t>
  </si>
  <si>
    <t xml:space="preserve">1. Sidebar &gt; My Allocation</t>
  </si>
  <si>
    <t xml:space="preserve">STUDENT-01.png</t>
  </si>
  <si>
    <t xml:space="preserve">Student cannot view another student's allocation</t>
  </si>
  <si>
    <t xml:space="preserve">Logged in as John Doe. Jane Smith has student id 2.</t>
  </si>
  <si>
    <t xml:space="preserve">1. In the address bar open http://127.0.0.1:5000/allocation/student/2</t>
  </si>
  <si>
    <t xml:space="preserve">STUDENT-02.png</t>
  </si>
  <si>
    <t xml:space="preserve">Authorization</t>
  </si>
  <si>
    <t xml:space="preserve">Admin reaches all management pages</t>
  </si>
  <si>
    <t xml:space="preserve">1. Open Allocations, New Allocation, Available Rooms, Rooms, Students from the sidebar/buttons</t>
  </si>
  <si>
    <t xml:space="preserve">AUTHZ-01.png</t>
  </si>
  <si>
    <t xml:space="preserve">Warden reaches all management pages</t>
  </si>
  <si>
    <t xml:space="preserve">Logged in as warden.</t>
  </si>
  <si>
    <t xml:space="preserve">1. Repeat the AUTHZ-01 pages</t>
  </si>
  <si>
    <t xml:space="preserve">AUTHZ-02.png</t>
  </si>
  <si>
    <t xml:space="preserve">Student blocked from allocation management</t>
  </si>
  <si>
    <t xml:space="preserve">1. Open http://127.0.0.1:5000/allocation/
2. Open /allocation/create</t>
  </si>
  <si>
    <t xml:space="preserve">AUTHZ-03.png</t>
  </si>
  <si>
    <t xml:space="preserve">Accountant blocked from allocations</t>
  </si>
  <si>
    <t xml:space="preserve">Logged in as accountant@hms.test / accountant123.</t>
  </si>
  <si>
    <t xml:space="preserve">1. Open /allocation/</t>
  </si>
  <si>
    <t xml:space="preserve">AUTHZ-05.png</t>
  </si>
  <si>
    <t xml:space="preserve">Student blocked from rooms and students pages</t>
  </si>
  <si>
    <t xml:space="preserve">1. Open /rooms
2. Open /students</t>
  </si>
  <si>
    <t xml:space="preserve">AUTHZ-07.png</t>
  </si>
  <si>
    <t xml:space="preserve">Student cannot open another allocation's reallocate page</t>
  </si>
  <si>
    <t xml:space="preserve">Logged in as student. An allocation with id 2 exists.</t>
  </si>
  <si>
    <t xml:space="preserve">1. Open http://127.0.0.1:5000/allocation/2/reallocate</t>
  </si>
  <si>
    <t xml:space="preserve">AUTHZ-10.png</t>
  </si>
  <si>
    <t xml:space="preserve">AUTHZ-11</t>
  </si>
  <si>
    <t xml:space="preserve">Student cannot cancel an allocation</t>
  </si>
  <si>
    <t xml:space="preserve">Logged in as student. Allocation id 2 is Active.</t>
  </si>
  <si>
    <t xml:space="preserve">1. Open DevTools &gt; Console and run:
fetch("/allocation/2/cancel",{method:"POST",headers:{"Content-Type":"application/x-www-form-urlencoded"},body:"csrf_token="+document.querySelector("input[name=csrf_token]").value})
2. Log in as admin and check allocation 2</t>
  </si>
  <si>
    <t xml:space="preserve">The student request is refused (redirect to the dashboard / permission message); allocation 2 is still Active.</t>
  </si>
  <si>
    <t xml:space="preserve">AUTHZ-11.png</t>
  </si>
  <si>
    <t xml:space="preserve">Security</t>
  </si>
  <si>
    <t xml:space="preserve">SQL injection in the search box</t>
  </si>
  <si>
    <t xml:space="preserve">1. Allocations list &gt; search for: ' OR '1'='1
2. Search for: '; DROP TABLE rooms; --</t>
  </si>
  <si>
    <t xml:space="preserve">SQL payloads</t>
  </si>
  <si>
    <t xml:space="preserve">SEC-01.png</t>
  </si>
  <si>
    <t xml:space="preserve">XSS in the search box</t>
  </si>
  <si>
    <t xml:space="preserve">1. Allocations list &gt; search for: &lt;script&gt;alert(1)&lt;/script&gt;</t>
  </si>
  <si>
    <t xml:space="preserve">&lt;script&gt;alert(1)&lt;/script&gt;</t>
  </si>
  <si>
    <t xml:space="preserve">SEC-03.png</t>
  </si>
  <si>
    <t xml:space="preserve">SEC-05</t>
  </si>
  <si>
    <t xml:space="preserve">Forged CSRF token is rejected</t>
  </si>
  <si>
    <t xml:space="preserve">1. Open New Allocation, fill the form
2. In DevTools set the hidden csrf_token value to "forged"
3. Submit</t>
  </si>
  <si>
    <t xml:space="preserve">csrf_token=forged</t>
  </si>
  <si>
    <t xml:space="preserve">Page "Your request could not be verified" (HTTP 400); nothing created.</t>
  </si>
  <si>
    <t xml:space="preserve">SEC-05.png</t>
  </si>
  <si>
    <t xml:space="preserve">No session bleed between users</t>
  </si>
  <si>
    <t xml:space="preserve">1. Log in as admin, then Logout
2. Log in as warden</t>
  </si>
  <si>
    <t xml:space="preserve">SEC-06.png</t>
  </si>
  <si>
    <t xml:space="preserve">Demo credentials are not displayed</t>
  </si>
  <si>
    <t xml:space="preserve">Server started normally (SHOW_DEMO_CREDENTIALS not set).</t>
  </si>
  <si>
    <t xml:space="preserve">1. Open the login page and read it completely</t>
  </si>
  <si>
    <t xml:space="preserve">SEC-07.png</t>
  </si>
  <si>
    <t xml:space="preserve">Dashboards</t>
  </si>
  <si>
    <t xml:space="preserve">Dashboards match the data</t>
  </si>
  <si>
    <t xml:space="preserve">Allocations from the cases above exist.</t>
  </si>
  <si>
    <t xml:space="preserve">1. View the Admin, Warden and Student dashboards in turn</t>
  </si>
  <si>
    <t xml:space="preserve">DASH-01.png</t>
  </si>
  <si>
    <t xml:space="preserve">UI-01</t>
  </si>
  <si>
    <t xml:space="preserve">UI</t>
  </si>
  <si>
    <t xml:space="preserve">Mobile layout (390 px wide)</t>
  </si>
  <si>
    <t xml:space="preserve">Logged in as admin; DevTools device toolbar set to 390 x 844.</t>
  </si>
  <si>
    <t xml:space="preserve">1. Visit Dashboard, Allocations, Available Rooms, Rooms, Students, New Allocation
2. On each page: scroll horizontally; look at the title next to the hamburger button
3. Tap the hamburger button</t>
  </si>
  <si>
    <t xml:space="preserve">No page scrolls sideways (wide tables scroll inside their card); the hamburger never covers the page title; tapping it opens the navigation drawer.</t>
  </si>
  <si>
    <t xml:space="preserve">UI-01.png</t>
  </si>
  <si>
    <t xml:space="preserve">Menus match the role</t>
  </si>
  <si>
    <t xml:space="preserve">1. Log in as admin, then warden, then student; read the sidebar each time</t>
  </si>
  <si>
    <t xml:space="preserve">UI-02.png</t>
  </si>
  <si>
    <t xml:space="preserve">Single logout; cache not reused after logout</t>
  </si>
  <si>
    <t xml:space="preserve">1. Count the Logout controls visible on screen
2. Click Logout
3. Press the browser Back button</t>
  </si>
  <si>
    <t xml:space="preserve">UI-03.png</t>
  </si>
  <si>
    <t xml:space="preserve">Data entry</t>
  </si>
  <si>
    <t xml:space="preserve">Add a hostel block</t>
  </si>
  <si>
    <t xml:space="preserve">Logged in as admin. Run AFTER all other cases (it changes the totals checked by DASH-01).</t>
  </si>
  <si>
    <t xml:space="preserve">1. Sidebar &gt; Rooms &gt; Add block
2. Block name: Block C; Location: South Campus
3. Click Add block</t>
  </si>
  <si>
    <t xml:space="preserve">Block C / South Campus</t>
  </si>
  <si>
    <t xml:space="preserve">ADD-01.png</t>
  </si>
  <si>
    <t xml:space="preserve">Add a room</t>
  </si>
  <si>
    <t xml:space="preserve">ADD-01 done.</t>
  </si>
  <si>
    <t xml:space="preserve">1. Rooms &gt; Add room
2. Block: Block C; Room number: 301; Floor: 3; Capacity: 2; Status: Available
3. Click Add room</t>
  </si>
  <si>
    <t xml:space="preserve">Block C / 301 / floor 3 / 2 beds</t>
  </si>
  <si>
    <t xml:space="preserve">ADD-02.png</t>
  </si>
  <si>
    <t xml:space="preserve">Add a student and log in as that student</t>
  </si>
  <si>
    <t xml:space="preserve">ADD-02 done.</t>
  </si>
  <si>
    <t xml:space="preserve">1. Students &gt; Add student
2. Name: Frank Green; E-mail: frank@student.test; Roll number: STU900; Course: B.Tech IT; Batch: 2026; Password and confirmation: Frank#Pass123
3. Click Add student
4. Log out; log in as frank@student.test / Frank#Pass123</t>
  </si>
  <si>
    <t xml:space="preserve">Frank Green / STU900</t>
  </si>
  <si>
    <t xml:space="preserve">ADD-03.png</t>
  </si>
  <si>
    <t xml:space="preserve">Validation and duplicates on the add forms</t>
  </si>
  <si>
    <t xml:space="preserve">Logged in as admin; ADD-03 done.</t>
  </si>
  <si>
    <t xml:space="preserve">1. Add student with E-mail john@student.test and everything else valid
2. Add student with Roll number STU900 and a new e-mail
3. Add student with Password abc and confirmation abc
4. Add room: Block C, room number 301 again
5. Add block named "block c"</t>
  </si>
  <si>
    <t xml:space="preserve">see steps</t>
  </si>
  <si>
    <t xml:space="preserve">ADD-04.png</t>
  </si>
  <si>
    <t xml:space="preserve">Only admins can add data</t>
  </si>
  <si>
    <t xml:space="preserve">Logged in as warden, then as student.</t>
  </si>
  <si>
    <t xml:space="preserve">1. As warden open Rooms and Students: look for Add buttons
2. As warden open http://127.0.0.1:5000/rooms/new
3. As student open http://127.0.0.1:5000/students/new</t>
  </si>
  <si>
    <t xml:space="preserve">ADD-05.png</t>
  </si>
  <si>
    <t xml:space="preserve">Manual test progress (calculated from the Execution sheet)</t>
  </si>
  <si>
    <t xml:space="preserve">Cases</t>
  </si>
  <si>
    <t xml:space="preserve">Fail</t>
  </si>
  <si>
    <t xml:space="preserve">Blocked</t>
  </si>
  <si>
    <t xml:space="preserve">Not Executed</t>
  </si>
  <si>
    <t xml:space="preserve">Total cases</t>
  </si>
  <si>
    <t xml:space="preserve">Executed (Pass + Fail + Blocked)</t>
  </si>
  <si>
    <t xml:space="preserve">Executed %</t>
  </si>
  <si>
    <t xml:space="preserve">Minimum set: all P1 cases (TESTING_PROCEDURE step 3)</t>
  </si>
  <si>
    <t xml:space="preserve">P1 cases</t>
  </si>
  <si>
    <t xml:space="preserve">P1 cases executed</t>
  </si>
  <si>
    <t xml:space="preserve">P1 remaining</t>
  </si>
  <si>
    <t xml:space="preserve">Rows the report builder would reject (should all be 0)</t>
  </si>
  <si>
    <t xml:space="preserve">Executed but Actual Result, Executed By or Date empty</t>
  </si>
  <si>
    <t xml:space="preserve">Not Executed but result columns contain data</t>
  </si>
  <si>
    <t xml:space="preserve">Fail with no Defect ID</t>
  </si>
  <si>
    <t xml:space="preserve">Executed (Y/N) column disagrees with Status</t>
  </si>
  <si>
    <t xml:space="preserve">Executed without an Evidence file name (advisory)</t>
  </si>
  <si>
    <t xml:space="preserve">Executed By</t>
  </si>
  <si>
    <t xml:space="preserve">Date</t>
  </si>
  <si>
    <t xml:space="preserve">Build / commit tested</t>
  </si>
  <si>
    <t xml:space="preserve">EXAMPLE-01</t>
  </si>
  <si>
    <t xml:space="preserve">Redirected to Admin Dashboard; banner "Welcome, Admin User!" shown; admin sidebar visible.</t>
  </si>
  <si>
    <t xml:space="preserve">EXAMPLE-01.png</t>
  </si>
  <si>
    <t xml:space="preserve">Your name</t>
  </si>
  <si>
    <t xml:space="preserve">2026-10-27</t>
  </si>
  <si>
    <t xml:space="preserve">hostel_management_system_submission.zip</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</si>
</sst>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i val="true"/>
      <sz val="10"/>
      <name val="Arial"/>
      <family val="0"/>
      <charset val="1"/>
    </font>
    <font>
      <b val="true"/>
      <sz val="10"/>
      <color rgb="FFFFFFFF"/>
      <name val="Arial"/>
      <family val="0"/>
      <charset val="1"/>
    </font>
    <font>
      <b val="true"/>
      <sz val="10"/>
      <name val="Arial"/>
      <family val="0"/>
      <charset val="1"/>
    </font>
    <font>
      <b val="true"/>
      <sz val="12"/>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9DB"/>
        <bgColor rgb="FFFFFFFF"/>
      </patternFill>
    </fill>
    <fill>
      <patternFill patternType="solid">
        <fgColor rgb="FFD9E1F2"/>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4" fontId="0" fillId="4" borderId="0" xfId="0" applyFont="false" applyBorder="fals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fgColor rgb="FFFF9999"/>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ill>
        <patternFill patternType="solid">
          <fgColor rgb="FFC6EFCE"/>
          <bgColor rgb="FF000000"/>
        </patternFill>
      </fill>
    </dxf>
    <dxf>
      <fill>
        <patternFill patternType="solid">
          <fgColor rgb="FF006100"/>
          <bgColor rgb="FF000000"/>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bgColor rgb="FFFF9999"/>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9DB"/>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99"/>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I2:I66 A1"/>
    </sheetView>
  </sheetViews>
  <sheetFormatPr defaultColWidth="8.6796875" defaultRowHeight="15" customHeight="false" zeroHeight="false" outlineLevelRow="0" outlineLevelCol="0"/>
  <cols>
    <col collapsed="false" customWidth="true" hidden="false" outlineLevel="0" max="1" min="1" style="1" width="140"/>
  </cols>
  <sheetData>
    <row r="1" customFormat="false" ht="1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3" t="s">
        <v>2</v>
      </c>
    </row>
    <row r="4" customFormat="false" ht="15" hidden="false" customHeight="false" outlineLevel="0" collapsed="false">
      <c r="A4" s="3" t="s">
        <v>3</v>
      </c>
    </row>
    <row r="5" customFormat="false" ht="15" hidden="false" customHeight="false" outlineLevel="0" collapsed="false">
      <c r="A5" s="3" t="s">
        <v>4</v>
      </c>
    </row>
    <row r="6" customFormat="false" ht="23.85" hidden="false" customHeight="false" outlineLevel="0" collapsed="false">
      <c r="A6" s="3" t="s">
        <v>5</v>
      </c>
    </row>
    <row r="7" customFormat="false" ht="15" hidden="false" customHeight="false" outlineLevel="0" collapsed="false">
      <c r="A7" s="3"/>
    </row>
    <row r="8" customFormat="false" ht="15" hidden="false" customHeight="false" outlineLevel="0" collapsed="false">
      <c r="A8" s="2"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t="s">
        <v>9</v>
      </c>
    </row>
    <row r="12" customFormat="false" ht="15" hidden="false" customHeight="false" outlineLevel="0" collapsed="false">
      <c r="A12" s="3" t="s">
        <v>10</v>
      </c>
    </row>
    <row r="13" customFormat="false" ht="15" hidden="false" customHeight="false" outlineLevel="0" collapsed="false">
      <c r="A13" s="3"/>
    </row>
    <row r="14" customFormat="false" ht="15" hidden="false" customHeight="false" outlineLevel="0" collapsed="false">
      <c r="A14" s="2" t="s">
        <v>11</v>
      </c>
    </row>
    <row r="15" customFormat="false" ht="15" hidden="false" customHeight="false" outlineLevel="0" collapsed="false">
      <c r="A15" s="4"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E2" activeCellId="1" sqref="I2:I66 E2"/>
    </sheetView>
  </sheetViews>
  <sheetFormatPr defaultColWidth="8.6796875" defaultRowHeight="15" customHeight="false" zeroHeight="false" outlineLevelRow="0" outlineLevelCol="0"/>
  <cols>
    <col collapsed="false" customWidth="true" hidden="false" outlineLevel="0" max="1" min="1" style="1" width="19.58"/>
    <col collapsed="false" customWidth="true" hidden="false" outlineLevel="0" max="2" min="2" style="1" width="11"/>
    <col collapsed="false" customWidth="true" hidden="false" outlineLevel="0" max="3" min="3" style="1" width="14"/>
    <col collapsed="false" customWidth="true" hidden="false" outlineLevel="0" max="4" min="4" style="1" width="45"/>
    <col collapsed="false" customWidth="true" hidden="false" outlineLevel="0" max="5" min="5" style="1" width="26"/>
    <col collapsed="false" customWidth="true" hidden="false" outlineLevel="0" max="6" min="6" style="1" width="12"/>
    <col collapsed="false" customWidth="true" hidden="false" outlineLevel="0" max="16384" min="16382" style="0" width="11.53"/>
  </cols>
  <sheetData>
    <row r="1" customFormat="false" ht="30" hidden="false" customHeight="true" outlineLevel="0" collapsed="false">
      <c r="A1" s="5" t="s">
        <v>13</v>
      </c>
      <c r="B1" s="5" t="s">
        <v>14</v>
      </c>
      <c r="C1" s="5" t="s">
        <v>15</v>
      </c>
      <c r="D1" s="5" t="s">
        <v>16</v>
      </c>
      <c r="E1" s="5" t="s">
        <v>17</v>
      </c>
      <c r="F1" s="5" t="s">
        <v>18</v>
      </c>
    </row>
    <row r="2" customFormat="false" ht="35.3" hidden="false" customHeight="false" outlineLevel="0" collapsed="false">
      <c r="A2" s="6" t="s">
        <v>19</v>
      </c>
      <c r="B2" s="7" t="s">
        <v>20</v>
      </c>
      <c r="C2" s="7" t="s">
        <v>21</v>
      </c>
      <c r="D2" s="8" t="s">
        <v>22</v>
      </c>
      <c r="E2" s="7"/>
      <c r="F2" s="7"/>
    </row>
    <row r="3" customFormat="false" ht="24.05" hidden="false" customHeight="false" outlineLevel="0" collapsed="false">
      <c r="A3" s="6" t="s">
        <v>23</v>
      </c>
      <c r="B3" s="7" t="s">
        <v>20</v>
      </c>
      <c r="C3" s="7" t="s">
        <v>21</v>
      </c>
      <c r="D3" s="8" t="s">
        <v>24</v>
      </c>
      <c r="E3" s="7"/>
      <c r="F3" s="7"/>
    </row>
    <row r="4" customFormat="false" ht="24.05" hidden="false" customHeight="false" outlineLevel="0" collapsed="false">
      <c r="A4" s="6" t="s">
        <v>25</v>
      </c>
      <c r="B4" s="7" t="s">
        <v>20</v>
      </c>
      <c r="C4" s="7" t="s">
        <v>21</v>
      </c>
      <c r="D4" s="8" t="s">
        <v>26</v>
      </c>
      <c r="E4" s="7"/>
      <c r="F4" s="7"/>
    </row>
    <row r="5" customFormat="false" ht="24.05" hidden="false" customHeight="false" outlineLevel="0" collapsed="false">
      <c r="A5" s="6" t="s">
        <v>27</v>
      </c>
      <c r="B5" s="7" t="s">
        <v>20</v>
      </c>
      <c r="C5" s="7" t="s">
        <v>21</v>
      </c>
      <c r="D5" s="8" t="s">
        <v>28</v>
      </c>
      <c r="E5" s="7"/>
      <c r="F5" s="7"/>
    </row>
    <row r="6" customFormat="false" ht="24.05" hidden="false" customHeight="false" outlineLevel="0" collapsed="false">
      <c r="A6" s="6" t="s">
        <v>29</v>
      </c>
      <c r="B6" s="7" t="s">
        <v>20</v>
      </c>
      <c r="C6" s="7" t="s">
        <v>21</v>
      </c>
      <c r="D6" s="8" t="s">
        <v>30</v>
      </c>
      <c r="E6" s="7"/>
      <c r="F6" s="7"/>
    </row>
    <row r="7" customFormat="false" ht="35.3" hidden="false" customHeight="false" outlineLevel="0" collapsed="false">
      <c r="A7" s="6" t="s">
        <v>31</v>
      </c>
      <c r="B7" s="7" t="s">
        <v>20</v>
      </c>
      <c r="C7" s="7" t="s">
        <v>21</v>
      </c>
      <c r="D7" s="8" t="s">
        <v>32</v>
      </c>
      <c r="E7" s="7"/>
      <c r="F7" s="7"/>
    </row>
    <row r="8" customFormat="false" ht="24.05" hidden="false" customHeight="false" outlineLevel="0" collapsed="false">
      <c r="A8" s="6" t="s">
        <v>33</v>
      </c>
      <c r="B8" s="7" t="s">
        <v>20</v>
      </c>
      <c r="C8" s="7" t="s">
        <v>21</v>
      </c>
      <c r="D8" s="8" t="s">
        <v>34</v>
      </c>
      <c r="E8" s="7"/>
      <c r="F8" s="7"/>
    </row>
    <row r="9" customFormat="false" ht="35.3" hidden="false" customHeight="false" outlineLevel="0" collapsed="false">
      <c r="A9" s="6"/>
      <c r="B9" s="7"/>
      <c r="C9" s="7"/>
      <c r="D9" s="8"/>
      <c r="E9" s="7"/>
      <c r="F9" s="7"/>
    </row>
    <row r="10" customFormat="false" ht="46.6" hidden="false" customHeight="false" outlineLevel="0" collapsed="false">
      <c r="A10" s="6" t="s">
        <v>35</v>
      </c>
      <c r="B10" s="7" t="s">
        <v>20</v>
      </c>
      <c r="C10" s="7" t="s">
        <v>21</v>
      </c>
      <c r="D10" s="8" t="s">
        <v>36</v>
      </c>
      <c r="E10" s="7"/>
      <c r="F10" s="7"/>
    </row>
    <row r="11" customFormat="false" ht="24.05" hidden="false" customHeight="false" outlineLevel="0" collapsed="false">
      <c r="A11" s="6" t="s">
        <v>37</v>
      </c>
      <c r="B11" s="7" t="s">
        <v>20</v>
      </c>
      <c r="C11" s="7" t="s">
        <v>21</v>
      </c>
      <c r="D11" s="8" t="s">
        <v>38</v>
      </c>
      <c r="E11" s="7"/>
      <c r="F11" s="7"/>
    </row>
    <row r="12" customFormat="false" ht="35.3" hidden="false" customHeight="false" outlineLevel="0" collapsed="false">
      <c r="A12" s="6" t="s">
        <v>39</v>
      </c>
      <c r="B12" s="7" t="s">
        <v>20</v>
      </c>
      <c r="C12" s="7" t="s">
        <v>21</v>
      </c>
      <c r="D12" s="8" t="s">
        <v>40</v>
      </c>
      <c r="E12" s="7"/>
      <c r="F12" s="7"/>
    </row>
    <row r="13" customFormat="false" ht="24.05" hidden="false" customHeight="false" outlineLevel="0" collapsed="false">
      <c r="A13" s="6" t="s">
        <v>41</v>
      </c>
      <c r="B13" s="7" t="s">
        <v>20</v>
      </c>
      <c r="C13" s="7" t="s">
        <v>21</v>
      </c>
      <c r="D13" s="8" t="s">
        <v>42</v>
      </c>
      <c r="E13" s="7"/>
      <c r="F13" s="7"/>
    </row>
    <row r="14" customFormat="false" ht="24.05" hidden="false" customHeight="false" outlineLevel="0" collapsed="false">
      <c r="A14" s="6" t="s">
        <v>43</v>
      </c>
      <c r="B14" s="7" t="s">
        <v>20</v>
      </c>
      <c r="C14" s="7" t="s">
        <v>21</v>
      </c>
      <c r="D14" s="8" t="s">
        <v>44</v>
      </c>
      <c r="E14" s="7"/>
      <c r="F14" s="7"/>
    </row>
    <row r="15" customFormat="false" ht="24.05" hidden="false" customHeight="false" outlineLevel="0" collapsed="false">
      <c r="A15" s="6" t="s">
        <v>45</v>
      </c>
      <c r="B15" s="7" t="s">
        <v>20</v>
      </c>
      <c r="C15" s="7" t="s">
        <v>21</v>
      </c>
      <c r="D15" s="8" t="s">
        <v>46</v>
      </c>
      <c r="E15" s="7"/>
      <c r="F15" s="7"/>
    </row>
    <row r="16" customFormat="false" ht="35.3" hidden="false" customHeight="false" outlineLevel="0" collapsed="false">
      <c r="A16" s="6" t="s">
        <v>47</v>
      </c>
      <c r="B16" s="7" t="s">
        <v>20</v>
      </c>
      <c r="C16" s="7" t="s">
        <v>21</v>
      </c>
      <c r="D16" s="8" t="s">
        <v>48</v>
      </c>
      <c r="E16" s="7"/>
      <c r="F16" s="7"/>
    </row>
    <row r="17" customFormat="false" ht="24.05" hidden="false" customHeight="false" outlineLevel="0" collapsed="false">
      <c r="A17" s="6" t="s">
        <v>49</v>
      </c>
      <c r="B17" s="7" t="s">
        <v>20</v>
      </c>
      <c r="C17" s="7" t="s">
        <v>21</v>
      </c>
      <c r="D17" s="8" t="s">
        <v>50</v>
      </c>
      <c r="E17" s="7"/>
      <c r="F17" s="7"/>
    </row>
    <row r="18" customFormat="false" ht="35.3" hidden="false" customHeight="false" outlineLevel="0" collapsed="false">
      <c r="A18" s="6"/>
      <c r="B18" s="7"/>
      <c r="C18" s="7"/>
      <c r="D18" s="8"/>
      <c r="E18" s="7"/>
      <c r="F18" s="7"/>
    </row>
    <row r="19" customFormat="false" ht="24.05" hidden="false" customHeight="false" outlineLevel="0" collapsed="false">
      <c r="A19" s="6" t="s">
        <v>51</v>
      </c>
      <c r="B19" s="7" t="s">
        <v>20</v>
      </c>
      <c r="C19" s="7" t="s">
        <v>21</v>
      </c>
      <c r="D19" s="8" t="s">
        <v>52</v>
      </c>
      <c r="E19" s="7"/>
      <c r="F19" s="7"/>
    </row>
    <row r="20" customFormat="false" ht="24.05" hidden="false" customHeight="false" outlineLevel="0" collapsed="false">
      <c r="A20" s="6"/>
      <c r="B20" s="7"/>
      <c r="C20" s="7"/>
      <c r="D20" s="8"/>
      <c r="E20" s="7"/>
      <c r="F20" s="7"/>
    </row>
    <row r="21" customFormat="false" ht="15" hidden="false" customHeight="false" outlineLevel="0" collapsed="false">
      <c r="A21" s="6"/>
      <c r="B21" s="7"/>
      <c r="C21" s="7"/>
      <c r="D21" s="8"/>
      <c r="E21" s="7"/>
      <c r="F21" s="7"/>
    </row>
    <row r="22" customFormat="false" ht="57.85" hidden="false" customHeight="false" outlineLevel="0" collapsed="false">
      <c r="A22" s="6" t="s">
        <v>53</v>
      </c>
      <c r="B22" s="7" t="s">
        <v>20</v>
      </c>
      <c r="C22" s="7" t="s">
        <v>21</v>
      </c>
      <c r="D22" s="8" t="s">
        <v>54</v>
      </c>
      <c r="E22" s="7"/>
      <c r="F22" s="7"/>
    </row>
    <row r="23" customFormat="false" ht="24.05" hidden="false" customHeight="false" outlineLevel="0" collapsed="false">
      <c r="A23" s="6"/>
      <c r="B23" s="7"/>
      <c r="C23" s="7"/>
      <c r="D23" s="8"/>
      <c r="E23" s="7"/>
      <c r="F23" s="7"/>
    </row>
    <row r="24" customFormat="false" ht="46.6" hidden="false" customHeight="false" outlineLevel="0" collapsed="false">
      <c r="A24" s="6" t="s">
        <v>55</v>
      </c>
      <c r="B24" s="7" t="s">
        <v>20</v>
      </c>
      <c r="C24" s="7" t="s">
        <v>21</v>
      </c>
      <c r="D24" s="8" t="s">
        <v>56</v>
      </c>
      <c r="E24" s="7"/>
      <c r="F24" s="7"/>
    </row>
    <row r="25" customFormat="false" ht="15" hidden="false" customHeight="false" outlineLevel="0" collapsed="false">
      <c r="A25" s="6"/>
      <c r="B25" s="7"/>
      <c r="C25" s="7"/>
      <c r="D25" s="8"/>
      <c r="E25" s="7"/>
      <c r="F25" s="7"/>
    </row>
    <row r="26" customFormat="false" ht="15" hidden="false" customHeight="false" outlineLevel="0" collapsed="false">
      <c r="A26" s="6"/>
      <c r="B26" s="7"/>
      <c r="C26" s="7"/>
      <c r="D26" s="8"/>
      <c r="E26" s="7"/>
      <c r="F26" s="7"/>
    </row>
    <row r="27" customFormat="false" ht="46.6" hidden="false" customHeight="false" outlineLevel="0" collapsed="false">
      <c r="A27" s="6" t="s">
        <v>57</v>
      </c>
      <c r="B27" s="7" t="s">
        <v>20</v>
      </c>
      <c r="C27" s="7" t="s">
        <v>21</v>
      </c>
      <c r="D27" s="8" t="s">
        <v>58</v>
      </c>
      <c r="E27" s="7"/>
      <c r="F27" s="7"/>
    </row>
    <row r="28" customFormat="false" ht="24.05" hidden="false" customHeight="false" outlineLevel="0" collapsed="false">
      <c r="A28" s="6" t="s">
        <v>59</v>
      </c>
      <c r="B28" s="7" t="s">
        <v>20</v>
      </c>
      <c r="C28" s="7" t="s">
        <v>21</v>
      </c>
      <c r="D28" s="8" t="s">
        <v>60</v>
      </c>
      <c r="E28" s="7"/>
      <c r="F28" s="7"/>
    </row>
    <row r="29" customFormat="false" ht="24.05" hidden="false" customHeight="false" outlineLevel="0" collapsed="false">
      <c r="A29" s="6" t="s">
        <v>61</v>
      </c>
      <c r="B29" s="7" t="s">
        <v>20</v>
      </c>
      <c r="C29" s="7" t="s">
        <v>21</v>
      </c>
      <c r="D29" s="8" t="s">
        <v>62</v>
      </c>
      <c r="E29" s="7"/>
      <c r="F29" s="7"/>
    </row>
    <row r="30" customFormat="false" ht="35.3" hidden="false" customHeight="false" outlineLevel="0" collapsed="false">
      <c r="A30" s="6"/>
      <c r="B30" s="7"/>
      <c r="C30" s="7"/>
      <c r="D30" s="8"/>
      <c r="E30" s="7"/>
      <c r="F30" s="7"/>
    </row>
    <row r="31" customFormat="false" ht="35.3" hidden="false" customHeight="false" outlineLevel="0" collapsed="false">
      <c r="A31" s="6" t="s">
        <v>63</v>
      </c>
      <c r="B31" s="7" t="s">
        <v>20</v>
      </c>
      <c r="C31" s="7" t="s">
        <v>21</v>
      </c>
      <c r="D31" s="8" t="s">
        <v>64</v>
      </c>
      <c r="E31" s="7"/>
      <c r="F31" s="7"/>
    </row>
    <row r="32" customFormat="false" ht="15" hidden="false" customHeight="false" outlineLevel="0" collapsed="false">
      <c r="A32" s="6"/>
      <c r="B32" s="7"/>
      <c r="C32" s="7"/>
      <c r="D32" s="8"/>
      <c r="E32" s="7"/>
      <c r="F32" s="7"/>
    </row>
    <row r="33" customFormat="false" ht="15" hidden="false" customHeight="false" outlineLevel="0" collapsed="false">
      <c r="A33" s="6"/>
      <c r="B33" s="7"/>
      <c r="C33" s="7"/>
      <c r="D33" s="8"/>
      <c r="E33" s="7"/>
      <c r="F33" s="7"/>
    </row>
    <row r="34" customFormat="false" ht="35.3" hidden="false" customHeight="false" outlineLevel="0" collapsed="false">
      <c r="A34" s="6" t="s">
        <v>65</v>
      </c>
      <c r="B34" s="7" t="s">
        <v>20</v>
      </c>
      <c r="C34" s="7" t="s">
        <v>21</v>
      </c>
      <c r="D34" s="8" t="s">
        <v>66</v>
      </c>
      <c r="E34" s="7"/>
      <c r="F34" s="7"/>
    </row>
    <row r="35" customFormat="false" ht="35.3" hidden="false" customHeight="false" outlineLevel="0" collapsed="false">
      <c r="A35" s="6" t="s">
        <v>67</v>
      </c>
      <c r="B35" s="7" t="s">
        <v>20</v>
      </c>
      <c r="C35" s="7" t="s">
        <v>21</v>
      </c>
      <c r="D35" s="8" t="s">
        <v>68</v>
      </c>
      <c r="E35" s="7"/>
      <c r="F35" s="7"/>
    </row>
    <row r="36" customFormat="false" ht="24.05" hidden="false" customHeight="false" outlineLevel="0" collapsed="false">
      <c r="A36" s="6" t="s">
        <v>69</v>
      </c>
      <c r="B36" s="7" t="s">
        <v>20</v>
      </c>
      <c r="C36" s="7" t="s">
        <v>21</v>
      </c>
      <c r="D36" s="8" t="s">
        <v>70</v>
      </c>
      <c r="E36" s="7"/>
      <c r="F36" s="7"/>
    </row>
    <row r="37" customFormat="false" ht="24.05" hidden="false" customHeight="false" outlineLevel="0" collapsed="false">
      <c r="A37" s="6"/>
      <c r="B37" s="7"/>
      <c r="C37" s="7"/>
      <c r="D37" s="8"/>
      <c r="E37" s="7"/>
      <c r="F37" s="7"/>
    </row>
    <row r="38" customFormat="false" ht="24.05" hidden="false" customHeight="false" outlineLevel="0" collapsed="false">
      <c r="A38" s="6" t="s">
        <v>71</v>
      </c>
      <c r="B38" s="7" t="s">
        <v>20</v>
      </c>
      <c r="C38" s="7" t="s">
        <v>21</v>
      </c>
      <c r="D38" s="8" t="s">
        <v>72</v>
      </c>
      <c r="E38" s="7"/>
      <c r="F38" s="7"/>
    </row>
    <row r="39" customFormat="false" ht="24.05" hidden="false" customHeight="false" outlineLevel="0" collapsed="false">
      <c r="A39" s="6" t="s">
        <v>73</v>
      </c>
      <c r="B39" s="7" t="s">
        <v>20</v>
      </c>
      <c r="C39" s="7" t="s">
        <v>21</v>
      </c>
      <c r="D39" s="8" t="s">
        <v>74</v>
      </c>
      <c r="E39" s="7"/>
      <c r="F39" s="7"/>
    </row>
    <row r="40" customFormat="false" ht="24.05" hidden="false" customHeight="false" outlineLevel="0" collapsed="false">
      <c r="A40" s="6" t="s">
        <v>75</v>
      </c>
      <c r="B40" s="7" t="s">
        <v>20</v>
      </c>
      <c r="C40" s="7" t="s">
        <v>21</v>
      </c>
      <c r="D40" s="8" t="s">
        <v>76</v>
      </c>
      <c r="E40" s="7"/>
      <c r="F40" s="7"/>
    </row>
    <row r="41" customFormat="false" ht="35.3" hidden="false" customHeight="false" outlineLevel="0" collapsed="false">
      <c r="A41" s="6" t="s">
        <v>77</v>
      </c>
      <c r="B41" s="7" t="s">
        <v>20</v>
      </c>
      <c r="C41" s="7" t="s">
        <v>21</v>
      </c>
      <c r="D41" s="8" t="s">
        <v>78</v>
      </c>
      <c r="E41" s="7"/>
      <c r="F41" s="7"/>
    </row>
    <row r="42" customFormat="false" ht="15" hidden="false" customHeight="false" outlineLevel="0" collapsed="false">
      <c r="A42" s="6" t="s">
        <v>79</v>
      </c>
      <c r="B42" s="7" t="s">
        <v>20</v>
      </c>
      <c r="C42" s="7" t="s">
        <v>21</v>
      </c>
      <c r="D42" s="8" t="s">
        <v>80</v>
      </c>
      <c r="E42" s="7"/>
      <c r="F42" s="7"/>
    </row>
    <row r="43" customFormat="false" ht="15" hidden="false" customHeight="false" outlineLevel="0" collapsed="false">
      <c r="A43" s="6" t="s">
        <v>81</v>
      </c>
      <c r="B43" s="7" t="s">
        <v>20</v>
      </c>
      <c r="C43" s="7" t="s">
        <v>21</v>
      </c>
      <c r="D43" s="8" t="s">
        <v>82</v>
      </c>
      <c r="E43" s="7"/>
      <c r="F43" s="7"/>
    </row>
    <row r="44" customFormat="false" ht="23.85" hidden="false" customHeight="false" outlineLevel="0" collapsed="false">
      <c r="A44" s="6" t="s">
        <v>83</v>
      </c>
      <c r="B44" s="7" t="s">
        <v>20</v>
      </c>
      <c r="C44" s="7" t="s">
        <v>21</v>
      </c>
      <c r="D44" s="8" t="s">
        <v>84</v>
      </c>
      <c r="E44" s="7"/>
      <c r="F44" s="7"/>
    </row>
    <row r="45" customFormat="false" ht="23.85" hidden="false" customHeight="false" outlineLevel="0" collapsed="false">
      <c r="A45" s="6" t="s">
        <v>85</v>
      </c>
      <c r="B45" s="7" t="s">
        <v>20</v>
      </c>
      <c r="C45" s="7" t="s">
        <v>21</v>
      </c>
      <c r="D45" s="8" t="s">
        <v>86</v>
      </c>
      <c r="E45" s="7"/>
      <c r="F45" s="7"/>
    </row>
    <row r="46" customFormat="false" ht="15" hidden="false" customHeight="false" outlineLevel="0" collapsed="false">
      <c r="A46" s="6" t="s">
        <v>87</v>
      </c>
      <c r="B46" s="7" t="s">
        <v>20</v>
      </c>
      <c r="C46" s="7" t="s">
        <v>21</v>
      </c>
      <c r="D46" s="8" t="s">
        <v>88</v>
      </c>
      <c r="E46" s="7"/>
      <c r="F46" s="7"/>
    </row>
    <row r="47" customFormat="false" ht="15" hidden="false" customHeight="false" outlineLevel="0" collapsed="false">
      <c r="A47" s="6" t="s">
        <v>89</v>
      </c>
      <c r="B47" s="7" t="s">
        <v>20</v>
      </c>
      <c r="C47" s="7" t="s">
        <v>21</v>
      </c>
      <c r="D47" s="8" t="s">
        <v>90</v>
      </c>
      <c r="E47" s="7"/>
      <c r="F47" s="7"/>
    </row>
    <row r="48" customFormat="false" ht="24.05" hidden="false" customHeight="false" outlineLevel="0" collapsed="false">
      <c r="A48" s="6" t="s">
        <v>91</v>
      </c>
      <c r="B48" s="7" t="s">
        <v>20</v>
      </c>
      <c r="C48" s="7" t="s">
        <v>21</v>
      </c>
      <c r="D48" s="8" t="s">
        <v>92</v>
      </c>
      <c r="E48" s="7"/>
      <c r="F48" s="7"/>
    </row>
    <row r="49" customFormat="false" ht="24.05" hidden="false" customHeight="false" outlineLevel="0" collapsed="false">
      <c r="A49" s="6" t="s">
        <v>93</v>
      </c>
      <c r="B49" s="7" t="s">
        <v>20</v>
      </c>
      <c r="C49" s="7" t="s">
        <v>21</v>
      </c>
      <c r="D49" s="8" t="s">
        <v>94</v>
      </c>
      <c r="E49" s="7"/>
      <c r="F49" s="7"/>
    </row>
    <row r="50" customFormat="false" ht="24.05" hidden="false" customHeight="false" outlineLevel="0" collapsed="false">
      <c r="A50" s="6" t="s">
        <v>95</v>
      </c>
      <c r="B50" s="7" t="s">
        <v>20</v>
      </c>
      <c r="C50" s="7" t="s">
        <v>21</v>
      </c>
      <c r="D50" s="8" t="s">
        <v>96</v>
      </c>
      <c r="E50" s="7"/>
      <c r="F50" s="7"/>
    </row>
    <row r="51" customFormat="false" ht="24.05" hidden="false" customHeight="false" outlineLevel="0" collapsed="false">
      <c r="A51" s="6" t="s">
        <v>97</v>
      </c>
      <c r="B51" s="7" t="s">
        <v>20</v>
      </c>
      <c r="C51" s="7" t="s">
        <v>21</v>
      </c>
      <c r="D51" s="8" t="s">
        <v>94</v>
      </c>
      <c r="E51" s="7"/>
      <c r="F51" s="7"/>
    </row>
    <row r="52" customFormat="false" ht="35.3" hidden="false" customHeight="false" outlineLevel="0" collapsed="false">
      <c r="A52" s="6"/>
      <c r="B52" s="7"/>
      <c r="C52" s="7"/>
      <c r="D52" s="8"/>
      <c r="E52" s="7"/>
      <c r="F52" s="7"/>
    </row>
    <row r="53" customFormat="false" ht="35.3" hidden="false" customHeight="false" outlineLevel="0" collapsed="false">
      <c r="A53" s="6" t="s">
        <v>98</v>
      </c>
      <c r="B53" s="7" t="s">
        <v>20</v>
      </c>
      <c r="C53" s="7" t="s">
        <v>21</v>
      </c>
      <c r="D53" s="8" t="s">
        <v>99</v>
      </c>
      <c r="E53" s="7"/>
      <c r="F53" s="7"/>
    </row>
    <row r="54" customFormat="false" ht="24.05" hidden="false" customHeight="false" outlineLevel="0" collapsed="false">
      <c r="A54" s="6" t="s">
        <v>100</v>
      </c>
      <c r="B54" s="7" t="s">
        <v>20</v>
      </c>
      <c r="C54" s="7" t="s">
        <v>21</v>
      </c>
      <c r="D54" s="8" t="s">
        <v>101</v>
      </c>
      <c r="E54" s="7"/>
      <c r="F54" s="7"/>
    </row>
    <row r="55" customFormat="false" ht="24.05" hidden="false" customHeight="false" outlineLevel="0" collapsed="false">
      <c r="A55" s="6"/>
      <c r="B55" s="7"/>
      <c r="C55" s="7"/>
      <c r="D55" s="8"/>
      <c r="E55" s="7"/>
      <c r="F55" s="7"/>
    </row>
    <row r="56" customFormat="false" ht="24.05" hidden="false" customHeight="false" outlineLevel="0" collapsed="false">
      <c r="A56" s="6" t="s">
        <v>102</v>
      </c>
      <c r="B56" s="7" t="s">
        <v>20</v>
      </c>
      <c r="C56" s="7" t="s">
        <v>21</v>
      </c>
      <c r="D56" s="8" t="s">
        <v>103</v>
      </c>
      <c r="E56" s="7"/>
      <c r="F56" s="7"/>
    </row>
    <row r="57" customFormat="false" ht="15" hidden="false" customHeight="false" outlineLevel="0" collapsed="false">
      <c r="A57" s="6" t="s">
        <v>104</v>
      </c>
      <c r="B57" s="7" t="s">
        <v>20</v>
      </c>
      <c r="C57" s="7" t="s">
        <v>21</v>
      </c>
      <c r="D57" s="8" t="s">
        <v>105</v>
      </c>
      <c r="E57" s="7"/>
      <c r="F57" s="7"/>
    </row>
    <row r="58" customFormat="false" ht="46.6" hidden="false" customHeight="false" outlineLevel="0" collapsed="false">
      <c r="A58" s="6" t="s">
        <v>106</v>
      </c>
      <c r="B58" s="7" t="s">
        <v>20</v>
      </c>
      <c r="C58" s="7" t="s">
        <v>21</v>
      </c>
      <c r="D58" s="8" t="s">
        <v>107</v>
      </c>
      <c r="E58" s="7"/>
      <c r="F58" s="7"/>
    </row>
    <row r="59" customFormat="false" ht="35.3" hidden="false" customHeight="false" outlineLevel="0" collapsed="false">
      <c r="A59" s="6"/>
      <c r="B59" s="7"/>
      <c r="C59" s="7"/>
      <c r="D59" s="8"/>
      <c r="E59" s="7"/>
      <c r="F59" s="7"/>
    </row>
    <row r="60" customFormat="false" ht="46.6" hidden="false" customHeight="false" outlineLevel="0" collapsed="false">
      <c r="A60" s="6" t="s">
        <v>108</v>
      </c>
      <c r="B60" s="7" t="s">
        <v>20</v>
      </c>
      <c r="C60" s="7" t="s">
        <v>21</v>
      </c>
      <c r="D60" s="8" t="s">
        <v>109</v>
      </c>
      <c r="E60" s="7"/>
      <c r="F60" s="7"/>
    </row>
    <row r="61" customFormat="false" ht="24.05" hidden="false" customHeight="false" outlineLevel="0" collapsed="false">
      <c r="A61" s="6" t="s">
        <v>110</v>
      </c>
      <c r="B61" s="7" t="s">
        <v>20</v>
      </c>
      <c r="C61" s="7" t="s">
        <v>21</v>
      </c>
      <c r="D61" s="8" t="s">
        <v>111</v>
      </c>
      <c r="E61" s="7"/>
      <c r="F61" s="7"/>
    </row>
    <row r="62" customFormat="false" ht="35.3" hidden="false" customHeight="false" outlineLevel="0" collapsed="false">
      <c r="A62" s="6" t="s">
        <v>112</v>
      </c>
      <c r="B62" s="7" t="s">
        <v>20</v>
      </c>
      <c r="C62" s="7" t="s">
        <v>21</v>
      </c>
      <c r="D62" s="8" t="s">
        <v>113</v>
      </c>
      <c r="E62" s="7"/>
      <c r="F62" s="7"/>
    </row>
    <row r="63" customFormat="false" ht="35.3" hidden="false" customHeight="false" outlineLevel="0" collapsed="false">
      <c r="A63" s="6" t="s">
        <v>114</v>
      </c>
      <c r="B63" s="7" t="s">
        <v>20</v>
      </c>
      <c r="C63" s="7" t="s">
        <v>21</v>
      </c>
      <c r="D63" s="8" t="s">
        <v>115</v>
      </c>
      <c r="E63" s="7"/>
      <c r="F63" s="7"/>
    </row>
    <row r="64" customFormat="false" ht="46.6" hidden="false" customHeight="false" outlineLevel="0" collapsed="false">
      <c r="A64" s="6" t="s">
        <v>116</v>
      </c>
      <c r="B64" s="7" t="s">
        <v>20</v>
      </c>
      <c r="C64" s="7" t="s">
        <v>21</v>
      </c>
      <c r="D64" s="8" t="s">
        <v>117</v>
      </c>
      <c r="E64" s="7"/>
      <c r="F64" s="7"/>
    </row>
    <row r="65" customFormat="false" ht="80.45" hidden="false" customHeight="false" outlineLevel="0" collapsed="false">
      <c r="A65" s="6" t="s">
        <v>118</v>
      </c>
      <c r="B65" s="7" t="s">
        <v>20</v>
      </c>
      <c r="C65" s="7" t="s">
        <v>21</v>
      </c>
      <c r="D65" s="8" t="s">
        <v>119</v>
      </c>
      <c r="E65" s="7"/>
      <c r="F65" s="7"/>
    </row>
    <row r="66" customFormat="false" ht="35.3" hidden="false" customHeight="false" outlineLevel="0" collapsed="false">
      <c r="A66" s="6" t="s">
        <v>120</v>
      </c>
      <c r="B66" s="7" t="s">
        <v>20</v>
      </c>
      <c r="C66" s="7" t="s">
        <v>21</v>
      </c>
      <c r="D66" s="8" t="s">
        <v>121</v>
      </c>
      <c r="E66" s="7"/>
      <c r="F66" s="7"/>
    </row>
  </sheetData>
  <autoFilter ref="A1:F66"/>
  <conditionalFormatting sqref="C2:C66">
    <cfRule type="cellIs" priority="2" operator="equal" aboveAverage="0" equalAverage="0" bottom="0" percent="0" rank="0" text="" dxfId="7">
      <formula>"Pass"</formula>
    </cfRule>
    <cfRule type="cellIs" priority="3" operator="equal" aboveAverage="0" equalAverage="0" bottom="0" percent="0" rank="0" text="" dxfId="8">
      <formula>"Fail"</formula>
    </cfRule>
    <cfRule type="cellIs" priority="4" operator="equal" aboveAverage="0" equalAverage="0" bottom="0" percent="0" rank="0" text="" dxfId="9">
      <formula>"Blocked"</formula>
    </cfRule>
  </conditionalFormatting>
  <conditionalFormatting sqref="A2:A66">
    <cfRule type="expression" priority="5" aboveAverage="0" equalAverage="0" bottom="0" percent="0" rank="0" text="" dxfId="10">
      <formula>AND($C2&lt;&gt;"Not Executed",OR($D2="",#REF!="",#REF!=""))</formula>
    </cfRule>
    <cfRule type="expression" priority="6" aboveAverage="0" equalAverage="0" bottom="0" percent="0" rank="0" text="" dxfId="10">
      <formula>AND($C2="Not Executed",COUNTA($D2:$F2)&gt;0)</formula>
    </cfRule>
    <cfRule type="expression" priority="7" aboveAverage="0" equalAverage="0" bottom="0" percent="0" rank="0" text="" dxfId="10">
      <formula>AND($C2="Fail",$F2="")</formula>
    </cfRule>
    <cfRule type="expression" priority="8" aboveAverage="0" equalAverage="0" bottom="0" percent="0" rank="0" text="" dxfId="10">
      <formula>OR(AND($C2="Not Executed",$B2&lt;&gt;"N"),AND($C2&lt;&gt;"Not Executed",$B2&lt;&gt;"Y"))</formula>
    </cfRule>
  </conditionalFormatting>
  <dataValidations count="3">
    <dataValidation allowBlank="false" error="Choose Y or N." errorStyle="stop" errorTitle="Executed" operator="between" showDropDown="false" showErrorMessage="true" showInputMessage="false" sqref="B2:B66" type="list">
      <formula1>"Y,N"</formula1>
      <formula2>0</formula2>
    </dataValidation>
    <dataValidation allowBlank="false" error="Choose Not Executed, Pass, Fail or Blocked." errorStyle="stop" errorTitle="Status" operator="between" showDropDown="false" showErrorMessage="true" showInputMessage="false" sqref="C2:C66" type="list">
      <formula1>"Not Executed,Pass,Fail,Blocked"</formula1>
      <formula2>0</formula2>
    </dataValidation>
    <dataValidation allowBlank="true" errorStyle="stop" operator="between" prompt="Screenshot file name = case id, e.g. ALLOC-05.png (see Guide sheet, column J). Leave blank until you really have the file." promptTitle="Evidence" showDropDown="false" showErrorMessage="false" showInputMessage="true" sqref="E2:E66" type="custom">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G62" activePane="bottomRight" state="frozen"/>
      <selection pane="topLeft" activeCell="A1" activeCellId="0" sqref="A1"/>
      <selection pane="topRight" activeCell="G1" activeCellId="0" sqref="G1"/>
      <selection pane="bottomLeft" activeCell="A62" activeCellId="0" sqref="A62"/>
      <selection pane="bottomRight" activeCell="I2" activeCellId="0" sqref="I2:I66"/>
    </sheetView>
  </sheetViews>
  <sheetFormatPr defaultColWidth="8.6796875" defaultRowHeight="15" customHeight="false" zeroHeight="false" outlineLevelRow="0" outlineLevelCol="0"/>
  <cols>
    <col collapsed="false" customWidth="true" hidden="false" outlineLevel="0" max="1" min="1" style="1" width="16.37"/>
    <col collapsed="false" customWidth="true" hidden="false" outlineLevel="0" max="2" min="2" style="1" width="8"/>
    <col collapsed="false" customWidth="true" hidden="false" outlineLevel="0" max="3" min="3" style="1" width="15"/>
    <col collapsed="false" customWidth="true" hidden="false" outlineLevel="0" max="4" min="4" style="1" width="26"/>
    <col collapsed="false" customWidth="true" hidden="false" outlineLevel="0" max="5" min="5" style="1" width="18"/>
    <col collapsed="false" customWidth="true" hidden="false" outlineLevel="0" max="6" min="6" style="1" width="30"/>
    <col collapsed="false" customWidth="true" hidden="false" outlineLevel="0" max="7" min="7" style="1" width="52"/>
    <col collapsed="false" customWidth="true" hidden="false" outlineLevel="0" max="8" min="8" style="1" width="28"/>
    <col collapsed="false" customWidth="true" hidden="false" outlineLevel="0" max="9" min="9" style="1" width="60"/>
    <col collapsed="false" customWidth="true" hidden="false" outlineLevel="0" max="10" min="10" style="1" width="20"/>
    <col collapsed="false" customWidth="true" hidden="false" outlineLevel="0" max="11" min="11" style="1" width="12"/>
  </cols>
  <sheetData>
    <row r="1" customFormat="false" ht="35.05" hidden="false" customHeight="false" outlineLevel="0" collapsed="false">
      <c r="A1" s="5" t="s">
        <v>13</v>
      </c>
      <c r="B1" s="5" t="s">
        <v>122</v>
      </c>
      <c r="C1" s="5" t="s">
        <v>123</v>
      </c>
      <c r="D1" s="5" t="s">
        <v>124</v>
      </c>
      <c r="E1" s="5" t="s">
        <v>125</v>
      </c>
      <c r="F1" s="5" t="s">
        <v>126</v>
      </c>
      <c r="G1" s="5" t="s">
        <v>127</v>
      </c>
      <c r="H1" s="5" t="s">
        <v>128</v>
      </c>
      <c r="I1" s="5" t="s">
        <v>129</v>
      </c>
      <c r="J1" s="5" t="s">
        <v>130</v>
      </c>
      <c r="K1" s="5" t="s">
        <v>131</v>
      </c>
    </row>
    <row r="2" customFormat="false" ht="35.05" hidden="false" customHeight="false" outlineLevel="0" collapsed="false">
      <c r="A2" s="6" t="s">
        <v>19</v>
      </c>
      <c r="B2" s="8" t="s">
        <v>132</v>
      </c>
      <c r="C2" s="8" t="s">
        <v>133</v>
      </c>
      <c r="D2" s="8" t="s">
        <v>134</v>
      </c>
      <c r="E2" s="8" t="s">
        <v>135</v>
      </c>
      <c r="F2" s="8" t="s">
        <v>136</v>
      </c>
      <c r="G2" s="8" t="s">
        <v>137</v>
      </c>
      <c r="H2" s="8" t="s">
        <v>138</v>
      </c>
      <c r="I2" s="8" t="s">
        <v>22</v>
      </c>
      <c r="J2" s="7" t="s">
        <v>139</v>
      </c>
      <c r="K2" s="8" t="s">
        <v>140</v>
      </c>
    </row>
    <row r="3" customFormat="false" ht="35.05" hidden="false" customHeight="false" outlineLevel="0" collapsed="false">
      <c r="A3" s="6" t="s">
        <v>23</v>
      </c>
      <c r="B3" s="8" t="s">
        <v>141</v>
      </c>
      <c r="C3" s="8" t="s">
        <v>133</v>
      </c>
      <c r="D3" s="8" t="s">
        <v>142</v>
      </c>
      <c r="E3" s="8" t="s">
        <v>135</v>
      </c>
      <c r="F3" s="8" t="s">
        <v>143</v>
      </c>
      <c r="G3" s="8" t="s">
        <v>144</v>
      </c>
      <c r="H3" s="8" t="s">
        <v>145</v>
      </c>
      <c r="I3" s="8" t="s">
        <v>24</v>
      </c>
      <c r="J3" s="7" t="s">
        <v>146</v>
      </c>
      <c r="K3" s="8" t="s">
        <v>140</v>
      </c>
    </row>
    <row r="4" customFormat="false" ht="35.05" hidden="false" customHeight="false" outlineLevel="0" collapsed="false">
      <c r="A4" s="6" t="s">
        <v>25</v>
      </c>
      <c r="B4" s="8" t="s">
        <v>141</v>
      </c>
      <c r="C4" s="8" t="s">
        <v>133</v>
      </c>
      <c r="D4" s="8" t="s">
        <v>147</v>
      </c>
      <c r="E4" s="8" t="s">
        <v>135</v>
      </c>
      <c r="F4" s="8" t="s">
        <v>143</v>
      </c>
      <c r="G4" s="8" t="s">
        <v>148</v>
      </c>
      <c r="H4" s="8" t="s">
        <v>149</v>
      </c>
      <c r="I4" s="8" t="s">
        <v>26</v>
      </c>
      <c r="J4" s="7" t="s">
        <v>150</v>
      </c>
      <c r="K4" s="8" t="s">
        <v>140</v>
      </c>
    </row>
    <row r="5" customFormat="false" ht="35.05" hidden="false" customHeight="false" outlineLevel="0" collapsed="false">
      <c r="A5" s="6" t="s">
        <v>27</v>
      </c>
      <c r="B5" s="8" t="s">
        <v>132</v>
      </c>
      <c r="C5" s="8" t="s">
        <v>133</v>
      </c>
      <c r="D5" s="8" t="s">
        <v>151</v>
      </c>
      <c r="E5" s="8" t="s">
        <v>135</v>
      </c>
      <c r="F5" s="8" t="s">
        <v>143</v>
      </c>
      <c r="G5" s="8" t="s">
        <v>152</v>
      </c>
      <c r="H5" s="8" t="s">
        <v>153</v>
      </c>
      <c r="I5" s="8" t="s">
        <v>28</v>
      </c>
      <c r="J5" s="7" t="s">
        <v>154</v>
      </c>
      <c r="K5" s="8" t="s">
        <v>140</v>
      </c>
    </row>
    <row r="6" customFormat="false" ht="35.05" hidden="false" customHeight="false" outlineLevel="0" collapsed="false">
      <c r="A6" s="6" t="s">
        <v>29</v>
      </c>
      <c r="B6" s="8" t="s">
        <v>141</v>
      </c>
      <c r="C6" s="8" t="s">
        <v>133</v>
      </c>
      <c r="D6" s="8" t="s">
        <v>155</v>
      </c>
      <c r="E6" s="8" t="s">
        <v>135</v>
      </c>
      <c r="F6" s="8" t="s">
        <v>143</v>
      </c>
      <c r="G6" s="8" t="s">
        <v>156</v>
      </c>
      <c r="H6" s="8" t="s">
        <v>157</v>
      </c>
      <c r="I6" s="8" t="s">
        <v>30</v>
      </c>
      <c r="J6" s="7" t="s">
        <v>158</v>
      </c>
      <c r="K6" s="8" t="s">
        <v>140</v>
      </c>
    </row>
    <row r="7" customFormat="false" ht="23.85" hidden="false" customHeight="false" outlineLevel="0" collapsed="false">
      <c r="A7" s="6" t="s">
        <v>31</v>
      </c>
      <c r="B7" s="8" t="s">
        <v>132</v>
      </c>
      <c r="C7" s="8" t="s">
        <v>133</v>
      </c>
      <c r="D7" s="8" t="s">
        <v>159</v>
      </c>
      <c r="E7" s="8" t="s">
        <v>135</v>
      </c>
      <c r="F7" s="8" t="s">
        <v>160</v>
      </c>
      <c r="G7" s="8" t="s">
        <v>161</v>
      </c>
      <c r="H7" s="8"/>
      <c r="I7" s="8" t="s">
        <v>32</v>
      </c>
      <c r="J7" s="7" t="s">
        <v>162</v>
      </c>
      <c r="K7" s="8" t="s">
        <v>140</v>
      </c>
    </row>
    <row r="8" customFormat="false" ht="35.05" hidden="false" customHeight="false" outlineLevel="0" collapsed="false">
      <c r="A8" s="6" t="s">
        <v>33</v>
      </c>
      <c r="B8" s="8" t="s">
        <v>132</v>
      </c>
      <c r="C8" s="8" t="s">
        <v>133</v>
      </c>
      <c r="D8" s="8" t="s">
        <v>163</v>
      </c>
      <c r="E8" s="8" t="s">
        <v>135</v>
      </c>
      <c r="F8" s="8" t="s">
        <v>143</v>
      </c>
      <c r="G8" s="8" t="s">
        <v>164</v>
      </c>
      <c r="H8" s="8"/>
      <c r="I8" s="8" t="s">
        <v>34</v>
      </c>
      <c r="J8" s="7" t="s">
        <v>165</v>
      </c>
      <c r="K8" s="8" t="s">
        <v>140</v>
      </c>
    </row>
    <row r="9" customFormat="false" ht="46.25" hidden="false" customHeight="false" outlineLevel="0" collapsed="false">
      <c r="A9" s="6" t="s">
        <v>166</v>
      </c>
      <c r="B9" s="8" t="s">
        <v>132</v>
      </c>
      <c r="C9" s="8" t="s">
        <v>133</v>
      </c>
      <c r="D9" s="8" t="s">
        <v>167</v>
      </c>
      <c r="E9" s="8" t="s">
        <v>168</v>
      </c>
      <c r="F9" s="8" t="s">
        <v>169</v>
      </c>
      <c r="G9" s="8" t="s">
        <v>170</v>
      </c>
      <c r="H9" s="8" t="s">
        <v>138</v>
      </c>
      <c r="I9" s="8" t="s">
        <v>171</v>
      </c>
      <c r="J9" s="7" t="s">
        <v>172</v>
      </c>
      <c r="K9" s="8" t="s">
        <v>173</v>
      </c>
    </row>
    <row r="10" customFormat="false" ht="46.25" hidden="false" customHeight="false" outlineLevel="0" collapsed="false">
      <c r="A10" s="6" t="s">
        <v>35</v>
      </c>
      <c r="B10" s="8" t="s">
        <v>141</v>
      </c>
      <c r="C10" s="8" t="s">
        <v>133</v>
      </c>
      <c r="D10" s="8" t="s">
        <v>174</v>
      </c>
      <c r="E10" s="8" t="s">
        <v>135</v>
      </c>
      <c r="F10" s="8" t="s">
        <v>175</v>
      </c>
      <c r="G10" s="8" t="s">
        <v>176</v>
      </c>
      <c r="H10" s="8" t="s">
        <v>177</v>
      </c>
      <c r="I10" s="8" t="s">
        <v>36</v>
      </c>
      <c r="J10" s="7" t="s">
        <v>178</v>
      </c>
      <c r="K10" s="8" t="s">
        <v>140</v>
      </c>
    </row>
    <row r="11" customFormat="false" ht="23.85" hidden="false" customHeight="false" outlineLevel="0" collapsed="false">
      <c r="A11" s="6" t="s">
        <v>37</v>
      </c>
      <c r="B11" s="8" t="s">
        <v>132</v>
      </c>
      <c r="C11" s="8" t="s">
        <v>133</v>
      </c>
      <c r="D11" s="8" t="s">
        <v>179</v>
      </c>
      <c r="E11" s="8" t="s">
        <v>135</v>
      </c>
      <c r="F11" s="8" t="s">
        <v>160</v>
      </c>
      <c r="G11" s="8" t="s">
        <v>180</v>
      </c>
      <c r="H11" s="8"/>
      <c r="I11" s="8" t="s">
        <v>38</v>
      </c>
      <c r="J11" s="7" t="s">
        <v>181</v>
      </c>
      <c r="K11" s="8" t="s">
        <v>140</v>
      </c>
    </row>
    <row r="12" customFormat="false" ht="46.25" hidden="false" customHeight="false" outlineLevel="0" collapsed="false">
      <c r="A12" s="6" t="s">
        <v>39</v>
      </c>
      <c r="B12" s="8" t="s">
        <v>132</v>
      </c>
      <c r="C12" s="8" t="s">
        <v>182</v>
      </c>
      <c r="D12" s="8" t="s">
        <v>183</v>
      </c>
      <c r="E12" s="8" t="s">
        <v>135</v>
      </c>
      <c r="F12" s="8" t="s">
        <v>184</v>
      </c>
      <c r="G12" s="8" t="s">
        <v>185</v>
      </c>
      <c r="H12" s="8" t="s">
        <v>186</v>
      </c>
      <c r="I12" s="8" t="s">
        <v>40</v>
      </c>
      <c r="J12" s="7" t="s">
        <v>187</v>
      </c>
      <c r="K12" s="8" t="s">
        <v>140</v>
      </c>
    </row>
    <row r="13" customFormat="false" ht="46.25" hidden="false" customHeight="false" outlineLevel="0" collapsed="false">
      <c r="A13" s="6" t="s">
        <v>41</v>
      </c>
      <c r="B13" s="8" t="s">
        <v>141</v>
      </c>
      <c r="C13" s="8" t="s">
        <v>182</v>
      </c>
      <c r="D13" s="8" t="s">
        <v>188</v>
      </c>
      <c r="E13" s="8" t="s">
        <v>135</v>
      </c>
      <c r="F13" s="8" t="s">
        <v>189</v>
      </c>
      <c r="G13" s="8" t="s">
        <v>190</v>
      </c>
      <c r="H13" s="8" t="s">
        <v>191</v>
      </c>
      <c r="I13" s="8" t="s">
        <v>42</v>
      </c>
      <c r="J13" s="7" t="s">
        <v>192</v>
      </c>
      <c r="K13" s="8" t="s">
        <v>140</v>
      </c>
    </row>
    <row r="14" customFormat="false" ht="23.85" hidden="false" customHeight="false" outlineLevel="0" collapsed="false">
      <c r="A14" s="6" t="s">
        <v>43</v>
      </c>
      <c r="B14" s="8" t="s">
        <v>132</v>
      </c>
      <c r="C14" s="8" t="s">
        <v>193</v>
      </c>
      <c r="D14" s="8" t="s">
        <v>194</v>
      </c>
      <c r="E14" s="8" t="s">
        <v>135</v>
      </c>
      <c r="F14" s="8" t="s">
        <v>195</v>
      </c>
      <c r="G14" s="8" t="s">
        <v>196</v>
      </c>
      <c r="H14" s="8"/>
      <c r="I14" s="8" t="s">
        <v>44</v>
      </c>
      <c r="J14" s="7" t="s">
        <v>197</v>
      </c>
      <c r="K14" s="8" t="s">
        <v>140</v>
      </c>
    </row>
    <row r="15" customFormat="false" ht="35.05" hidden="false" customHeight="false" outlineLevel="0" collapsed="false">
      <c r="A15" s="6" t="s">
        <v>45</v>
      </c>
      <c r="B15" s="8" t="s">
        <v>132</v>
      </c>
      <c r="C15" s="8" t="s">
        <v>182</v>
      </c>
      <c r="D15" s="8" t="s">
        <v>198</v>
      </c>
      <c r="E15" s="8" t="s">
        <v>135</v>
      </c>
      <c r="F15" s="8" t="s">
        <v>199</v>
      </c>
      <c r="G15" s="8" t="s">
        <v>200</v>
      </c>
      <c r="H15" s="8" t="s">
        <v>201</v>
      </c>
      <c r="I15" s="8" t="s">
        <v>46</v>
      </c>
      <c r="J15" s="7" t="s">
        <v>202</v>
      </c>
      <c r="K15" s="8" t="s">
        <v>140</v>
      </c>
    </row>
    <row r="16" customFormat="false" ht="23.85" hidden="false" customHeight="false" outlineLevel="0" collapsed="false">
      <c r="A16" s="6" t="s">
        <v>47</v>
      </c>
      <c r="B16" s="8" t="s">
        <v>141</v>
      </c>
      <c r="C16" s="8" t="s">
        <v>182</v>
      </c>
      <c r="D16" s="8" t="s">
        <v>203</v>
      </c>
      <c r="E16" s="8" t="s">
        <v>135</v>
      </c>
      <c r="F16" s="8" t="s">
        <v>204</v>
      </c>
      <c r="G16" s="8" t="s">
        <v>205</v>
      </c>
      <c r="H16" s="8"/>
      <c r="I16" s="8" t="s">
        <v>48</v>
      </c>
      <c r="J16" s="7" t="s">
        <v>206</v>
      </c>
      <c r="K16" s="8" t="s">
        <v>140</v>
      </c>
    </row>
    <row r="17" customFormat="false" ht="46.25" hidden="false" customHeight="false" outlineLevel="0" collapsed="false">
      <c r="A17" s="6" t="s">
        <v>49</v>
      </c>
      <c r="B17" s="8" t="s">
        <v>141</v>
      </c>
      <c r="C17" s="8" t="s">
        <v>182</v>
      </c>
      <c r="D17" s="8" t="s">
        <v>207</v>
      </c>
      <c r="E17" s="8" t="s">
        <v>135</v>
      </c>
      <c r="F17" s="8" t="s">
        <v>160</v>
      </c>
      <c r="G17" s="8" t="s">
        <v>208</v>
      </c>
      <c r="H17" s="8" t="s">
        <v>209</v>
      </c>
      <c r="I17" s="8" t="s">
        <v>50</v>
      </c>
      <c r="J17" s="7" t="s">
        <v>210</v>
      </c>
      <c r="K17" s="8" t="s">
        <v>140</v>
      </c>
    </row>
    <row r="18" customFormat="false" ht="57.85" hidden="false" customHeight="false" outlineLevel="0" collapsed="false">
      <c r="A18" s="6" t="s">
        <v>211</v>
      </c>
      <c r="B18" s="8" t="s">
        <v>132</v>
      </c>
      <c r="C18" s="8" t="s">
        <v>182</v>
      </c>
      <c r="D18" s="8" t="s">
        <v>212</v>
      </c>
      <c r="E18" s="8" t="s">
        <v>168</v>
      </c>
      <c r="F18" s="8" t="s">
        <v>213</v>
      </c>
      <c r="G18" s="8" t="s">
        <v>214</v>
      </c>
      <c r="H18" s="8" t="s">
        <v>215</v>
      </c>
      <c r="I18" s="8" t="s">
        <v>216</v>
      </c>
      <c r="J18" s="7" t="s">
        <v>217</v>
      </c>
      <c r="K18" s="8" t="s">
        <v>173</v>
      </c>
    </row>
    <row r="19" customFormat="false" ht="35.05" hidden="false" customHeight="false" outlineLevel="0" collapsed="false">
      <c r="A19" s="6" t="s">
        <v>51</v>
      </c>
      <c r="B19" s="8" t="s">
        <v>141</v>
      </c>
      <c r="C19" s="8" t="s">
        <v>182</v>
      </c>
      <c r="D19" s="8" t="s">
        <v>218</v>
      </c>
      <c r="E19" s="8" t="s">
        <v>135</v>
      </c>
      <c r="F19" s="8" t="s">
        <v>219</v>
      </c>
      <c r="G19" s="8" t="s">
        <v>220</v>
      </c>
      <c r="H19" s="8" t="s">
        <v>221</v>
      </c>
      <c r="I19" s="8" t="s">
        <v>52</v>
      </c>
      <c r="J19" s="7" t="s">
        <v>222</v>
      </c>
      <c r="K19" s="8" t="s">
        <v>140</v>
      </c>
    </row>
    <row r="20" customFormat="false" ht="46.25" hidden="false" customHeight="false" outlineLevel="0" collapsed="false">
      <c r="A20" s="6" t="s">
        <v>223</v>
      </c>
      <c r="B20" s="8" t="s">
        <v>141</v>
      </c>
      <c r="C20" s="8" t="s">
        <v>182</v>
      </c>
      <c r="D20" s="8" t="s">
        <v>224</v>
      </c>
      <c r="E20" s="8" t="s">
        <v>168</v>
      </c>
      <c r="F20" s="8" t="s">
        <v>160</v>
      </c>
      <c r="G20" s="8" t="s">
        <v>225</v>
      </c>
      <c r="H20" s="8" t="s">
        <v>226</v>
      </c>
      <c r="I20" s="8" t="s">
        <v>227</v>
      </c>
      <c r="J20" s="7" t="s">
        <v>228</v>
      </c>
      <c r="K20" s="8" t="s">
        <v>173</v>
      </c>
    </row>
    <row r="21" customFormat="false" ht="46.25" hidden="false" customHeight="false" outlineLevel="0" collapsed="false">
      <c r="A21" s="6" t="s">
        <v>229</v>
      </c>
      <c r="B21" s="8" t="s">
        <v>141</v>
      </c>
      <c r="C21" s="8" t="s">
        <v>182</v>
      </c>
      <c r="D21" s="8" t="s">
        <v>230</v>
      </c>
      <c r="E21" s="8" t="s">
        <v>168</v>
      </c>
      <c r="F21" s="8" t="s">
        <v>160</v>
      </c>
      <c r="G21" s="8" t="s">
        <v>231</v>
      </c>
      <c r="H21" s="8" t="s">
        <v>232</v>
      </c>
      <c r="I21" s="8" t="s">
        <v>233</v>
      </c>
      <c r="J21" s="7" t="s">
        <v>234</v>
      </c>
      <c r="K21" s="8" t="s">
        <v>173</v>
      </c>
    </row>
    <row r="22" customFormat="false" ht="46.25" hidden="false" customHeight="false" outlineLevel="0" collapsed="false">
      <c r="A22" s="6" t="s">
        <v>53</v>
      </c>
      <c r="B22" s="8" t="s">
        <v>132</v>
      </c>
      <c r="C22" s="8" t="s">
        <v>182</v>
      </c>
      <c r="D22" s="8" t="s">
        <v>235</v>
      </c>
      <c r="E22" s="8" t="s">
        <v>135</v>
      </c>
      <c r="F22" s="8" t="s">
        <v>160</v>
      </c>
      <c r="G22" s="8" t="s">
        <v>236</v>
      </c>
      <c r="H22" s="8"/>
      <c r="I22" s="8" t="s">
        <v>54</v>
      </c>
      <c r="J22" s="7" t="s">
        <v>237</v>
      </c>
      <c r="K22" s="8" t="s">
        <v>140</v>
      </c>
    </row>
    <row r="23" customFormat="false" ht="46.25" hidden="false" customHeight="false" outlineLevel="0" collapsed="false">
      <c r="A23" s="6" t="s">
        <v>238</v>
      </c>
      <c r="B23" s="8" t="s">
        <v>141</v>
      </c>
      <c r="C23" s="8" t="s">
        <v>182</v>
      </c>
      <c r="D23" s="8" t="s">
        <v>239</v>
      </c>
      <c r="E23" s="8" t="s">
        <v>168</v>
      </c>
      <c r="F23" s="8" t="s">
        <v>160</v>
      </c>
      <c r="G23" s="8" t="s">
        <v>240</v>
      </c>
      <c r="H23" s="8" t="s">
        <v>241</v>
      </c>
      <c r="I23" s="8" t="s">
        <v>242</v>
      </c>
      <c r="J23" s="7" t="s">
        <v>243</v>
      </c>
      <c r="K23" s="8" t="s">
        <v>173</v>
      </c>
    </row>
    <row r="24" customFormat="false" ht="57.85" hidden="false" customHeight="false" outlineLevel="0" collapsed="false">
      <c r="A24" s="6" t="s">
        <v>55</v>
      </c>
      <c r="B24" s="8" t="s">
        <v>132</v>
      </c>
      <c r="C24" s="8" t="s">
        <v>182</v>
      </c>
      <c r="D24" s="8" t="s">
        <v>244</v>
      </c>
      <c r="E24" s="8" t="s">
        <v>135</v>
      </c>
      <c r="F24" s="8" t="s">
        <v>160</v>
      </c>
      <c r="G24" s="8" t="s">
        <v>245</v>
      </c>
      <c r="H24" s="8" t="s">
        <v>246</v>
      </c>
      <c r="I24" s="8" t="s">
        <v>56</v>
      </c>
      <c r="J24" s="7" t="s">
        <v>247</v>
      </c>
      <c r="K24" s="8" t="s">
        <v>140</v>
      </c>
    </row>
    <row r="25" customFormat="false" ht="46.25" hidden="false" customHeight="false" outlineLevel="0" collapsed="false">
      <c r="A25" s="6" t="s">
        <v>248</v>
      </c>
      <c r="B25" s="8" t="s">
        <v>141</v>
      </c>
      <c r="C25" s="8" t="s">
        <v>182</v>
      </c>
      <c r="D25" s="8" t="s">
        <v>249</v>
      </c>
      <c r="E25" s="8" t="s">
        <v>168</v>
      </c>
      <c r="F25" s="8" t="s">
        <v>160</v>
      </c>
      <c r="G25" s="8" t="s">
        <v>250</v>
      </c>
      <c r="H25" s="8" t="s">
        <v>251</v>
      </c>
      <c r="I25" s="8" t="s">
        <v>252</v>
      </c>
      <c r="J25" s="7" t="s">
        <v>253</v>
      </c>
      <c r="K25" s="8" t="s">
        <v>173</v>
      </c>
    </row>
    <row r="26" customFormat="false" ht="46.25" hidden="false" customHeight="false" outlineLevel="0" collapsed="false">
      <c r="A26" s="6" t="s">
        <v>254</v>
      </c>
      <c r="B26" s="8" t="s">
        <v>132</v>
      </c>
      <c r="C26" s="8" t="s">
        <v>182</v>
      </c>
      <c r="D26" s="8" t="s">
        <v>255</v>
      </c>
      <c r="E26" s="8" t="s">
        <v>168</v>
      </c>
      <c r="F26" s="8" t="s">
        <v>160</v>
      </c>
      <c r="G26" s="8" t="s">
        <v>256</v>
      </c>
      <c r="H26" s="8"/>
      <c r="I26" s="8" t="s">
        <v>257</v>
      </c>
      <c r="J26" s="7" t="s">
        <v>258</v>
      </c>
      <c r="K26" s="8" t="s">
        <v>173</v>
      </c>
    </row>
    <row r="27" customFormat="false" ht="35.05" hidden="false" customHeight="false" outlineLevel="0" collapsed="false">
      <c r="A27" s="6" t="s">
        <v>57</v>
      </c>
      <c r="B27" s="8" t="s">
        <v>132</v>
      </c>
      <c r="C27" s="8" t="s">
        <v>259</v>
      </c>
      <c r="D27" s="8" t="s">
        <v>260</v>
      </c>
      <c r="E27" s="8" t="s">
        <v>135</v>
      </c>
      <c r="F27" s="8" t="s">
        <v>261</v>
      </c>
      <c r="G27" s="8" t="s">
        <v>262</v>
      </c>
      <c r="H27" s="8" t="s">
        <v>263</v>
      </c>
      <c r="I27" s="8" t="s">
        <v>58</v>
      </c>
      <c r="J27" s="7" t="s">
        <v>264</v>
      </c>
      <c r="K27" s="8" t="s">
        <v>140</v>
      </c>
    </row>
    <row r="28" customFormat="false" ht="23.85" hidden="false" customHeight="false" outlineLevel="0" collapsed="false">
      <c r="A28" s="6" t="s">
        <v>59</v>
      </c>
      <c r="B28" s="8" t="s">
        <v>132</v>
      </c>
      <c r="C28" s="8" t="s">
        <v>193</v>
      </c>
      <c r="D28" s="8" t="s">
        <v>265</v>
      </c>
      <c r="E28" s="8" t="s">
        <v>135</v>
      </c>
      <c r="F28" s="8" t="s">
        <v>266</v>
      </c>
      <c r="G28" s="8" t="s">
        <v>196</v>
      </c>
      <c r="H28" s="8"/>
      <c r="I28" s="8" t="s">
        <v>60</v>
      </c>
      <c r="J28" s="7" t="s">
        <v>267</v>
      </c>
      <c r="K28" s="8" t="s">
        <v>140</v>
      </c>
    </row>
    <row r="29" customFormat="false" ht="23.85" hidden="false" customHeight="false" outlineLevel="0" collapsed="false">
      <c r="A29" s="6" t="s">
        <v>61</v>
      </c>
      <c r="B29" s="8" t="s">
        <v>141</v>
      </c>
      <c r="C29" s="8" t="s">
        <v>259</v>
      </c>
      <c r="D29" s="8" t="s">
        <v>268</v>
      </c>
      <c r="E29" s="8" t="s">
        <v>135</v>
      </c>
      <c r="F29" s="8" t="s">
        <v>269</v>
      </c>
      <c r="G29" s="8" t="s">
        <v>270</v>
      </c>
      <c r="H29" s="8"/>
      <c r="I29" s="8" t="s">
        <v>62</v>
      </c>
      <c r="J29" s="7" t="s">
        <v>271</v>
      </c>
      <c r="K29" s="8" t="s">
        <v>140</v>
      </c>
    </row>
    <row r="30" customFormat="false" ht="57.85" hidden="false" customHeight="false" outlineLevel="0" collapsed="false">
      <c r="A30" s="6" t="s">
        <v>272</v>
      </c>
      <c r="B30" s="8" t="s">
        <v>273</v>
      </c>
      <c r="C30" s="8" t="s">
        <v>259</v>
      </c>
      <c r="D30" s="8" t="s">
        <v>274</v>
      </c>
      <c r="E30" s="8" t="s">
        <v>168</v>
      </c>
      <c r="F30" s="8" t="s">
        <v>275</v>
      </c>
      <c r="G30" s="8" t="s">
        <v>276</v>
      </c>
      <c r="H30" s="8" t="s">
        <v>277</v>
      </c>
      <c r="I30" s="8" t="s">
        <v>278</v>
      </c>
      <c r="J30" s="7" t="s">
        <v>279</v>
      </c>
      <c r="K30" s="8" t="s">
        <v>173</v>
      </c>
    </row>
    <row r="31" customFormat="false" ht="23.85" hidden="false" customHeight="false" outlineLevel="0" collapsed="false">
      <c r="A31" s="6" t="s">
        <v>63</v>
      </c>
      <c r="B31" s="8" t="s">
        <v>141</v>
      </c>
      <c r="C31" s="8" t="s">
        <v>259</v>
      </c>
      <c r="D31" s="8" t="s">
        <v>280</v>
      </c>
      <c r="E31" s="8" t="s">
        <v>135</v>
      </c>
      <c r="F31" s="8" t="s">
        <v>281</v>
      </c>
      <c r="G31" s="8" t="s">
        <v>282</v>
      </c>
      <c r="H31" s="8"/>
      <c r="I31" s="8" t="s">
        <v>64</v>
      </c>
      <c r="J31" s="7" t="s">
        <v>283</v>
      </c>
      <c r="K31" s="8" t="s">
        <v>140</v>
      </c>
    </row>
    <row r="32" customFormat="false" ht="23.85" hidden="false" customHeight="false" outlineLevel="0" collapsed="false">
      <c r="A32" s="6" t="s">
        <v>284</v>
      </c>
      <c r="B32" s="8" t="s">
        <v>273</v>
      </c>
      <c r="C32" s="8" t="s">
        <v>259</v>
      </c>
      <c r="D32" s="8" t="s">
        <v>230</v>
      </c>
      <c r="E32" s="8" t="s">
        <v>168</v>
      </c>
      <c r="F32" s="8" t="s">
        <v>281</v>
      </c>
      <c r="G32" s="8" t="s">
        <v>285</v>
      </c>
      <c r="H32" s="8" t="s">
        <v>232</v>
      </c>
      <c r="I32" s="8" t="s">
        <v>286</v>
      </c>
      <c r="J32" s="7" t="s">
        <v>287</v>
      </c>
      <c r="K32" s="8" t="s">
        <v>173</v>
      </c>
    </row>
    <row r="33" customFormat="false" ht="23.85" hidden="false" customHeight="false" outlineLevel="0" collapsed="false">
      <c r="A33" s="6" t="s">
        <v>288</v>
      </c>
      <c r="B33" s="8" t="s">
        <v>132</v>
      </c>
      <c r="C33" s="8" t="s">
        <v>259</v>
      </c>
      <c r="D33" s="8" t="s">
        <v>289</v>
      </c>
      <c r="E33" s="8" t="s">
        <v>168</v>
      </c>
      <c r="F33" s="8" t="s">
        <v>281</v>
      </c>
      <c r="G33" s="8" t="s">
        <v>290</v>
      </c>
      <c r="H33" s="8"/>
      <c r="I33" s="8" t="s">
        <v>291</v>
      </c>
      <c r="J33" s="7" t="s">
        <v>292</v>
      </c>
      <c r="K33" s="8" t="s">
        <v>173</v>
      </c>
    </row>
    <row r="34" customFormat="false" ht="35.05" hidden="false" customHeight="false" outlineLevel="0" collapsed="false">
      <c r="A34" s="6" t="s">
        <v>65</v>
      </c>
      <c r="B34" s="8" t="s">
        <v>132</v>
      </c>
      <c r="C34" s="8" t="s">
        <v>293</v>
      </c>
      <c r="D34" s="8" t="s">
        <v>294</v>
      </c>
      <c r="E34" s="8" t="s">
        <v>135</v>
      </c>
      <c r="F34" s="8" t="s">
        <v>295</v>
      </c>
      <c r="G34" s="8" t="s">
        <v>296</v>
      </c>
      <c r="H34" s="8"/>
      <c r="I34" s="8" t="s">
        <v>66</v>
      </c>
      <c r="J34" s="7" t="s">
        <v>297</v>
      </c>
      <c r="K34" s="8" t="s">
        <v>140</v>
      </c>
    </row>
    <row r="35" customFormat="false" ht="23.85" hidden="false" customHeight="false" outlineLevel="0" collapsed="false">
      <c r="A35" s="6" t="s">
        <v>67</v>
      </c>
      <c r="B35" s="8" t="s">
        <v>132</v>
      </c>
      <c r="C35" s="8" t="s">
        <v>293</v>
      </c>
      <c r="D35" s="8" t="s">
        <v>298</v>
      </c>
      <c r="E35" s="8" t="s">
        <v>135</v>
      </c>
      <c r="F35" s="8" t="s">
        <v>299</v>
      </c>
      <c r="G35" s="8" t="s">
        <v>300</v>
      </c>
      <c r="H35" s="8"/>
      <c r="I35" s="8" t="s">
        <v>68</v>
      </c>
      <c r="J35" s="7" t="s">
        <v>301</v>
      </c>
      <c r="K35" s="8" t="s">
        <v>140</v>
      </c>
    </row>
    <row r="36" customFormat="false" ht="23.85" hidden="false" customHeight="false" outlineLevel="0" collapsed="false">
      <c r="A36" s="6" t="s">
        <v>69</v>
      </c>
      <c r="B36" s="8" t="s">
        <v>141</v>
      </c>
      <c r="C36" s="8" t="s">
        <v>293</v>
      </c>
      <c r="D36" s="8" t="s">
        <v>302</v>
      </c>
      <c r="E36" s="8" t="s">
        <v>135</v>
      </c>
      <c r="F36" s="8" t="s">
        <v>303</v>
      </c>
      <c r="G36" s="8" t="s">
        <v>304</v>
      </c>
      <c r="H36" s="8"/>
      <c r="I36" s="8" t="s">
        <v>70</v>
      </c>
      <c r="J36" s="7" t="s">
        <v>305</v>
      </c>
      <c r="K36" s="8" t="s">
        <v>140</v>
      </c>
    </row>
    <row r="37" customFormat="false" ht="35.05" hidden="false" customHeight="false" outlineLevel="0" collapsed="false">
      <c r="A37" s="6" t="s">
        <v>306</v>
      </c>
      <c r="B37" s="8" t="s">
        <v>132</v>
      </c>
      <c r="C37" s="8" t="s">
        <v>293</v>
      </c>
      <c r="D37" s="8" t="s">
        <v>307</v>
      </c>
      <c r="E37" s="8" t="s">
        <v>168</v>
      </c>
      <c r="F37" s="8" t="s">
        <v>308</v>
      </c>
      <c r="G37" s="8" t="s">
        <v>309</v>
      </c>
      <c r="H37" s="8"/>
      <c r="I37" s="8" t="s">
        <v>310</v>
      </c>
      <c r="J37" s="7" t="s">
        <v>311</v>
      </c>
      <c r="K37" s="8" t="s">
        <v>173</v>
      </c>
    </row>
    <row r="38" customFormat="false" ht="23.85" hidden="false" customHeight="false" outlineLevel="0" collapsed="false">
      <c r="A38" s="6" t="s">
        <v>71</v>
      </c>
      <c r="B38" s="8" t="s">
        <v>141</v>
      </c>
      <c r="C38" s="8" t="s">
        <v>312</v>
      </c>
      <c r="D38" s="8" t="s">
        <v>313</v>
      </c>
      <c r="E38" s="8" t="s">
        <v>135</v>
      </c>
      <c r="F38" s="8" t="s">
        <v>314</v>
      </c>
      <c r="G38" s="8" t="s">
        <v>315</v>
      </c>
      <c r="H38" s="8" t="s">
        <v>316</v>
      </c>
      <c r="I38" s="8" t="s">
        <v>72</v>
      </c>
      <c r="J38" s="7" t="s">
        <v>317</v>
      </c>
      <c r="K38" s="8" t="s">
        <v>140</v>
      </c>
    </row>
    <row r="39" customFormat="false" ht="23.85" hidden="false" customHeight="false" outlineLevel="0" collapsed="false">
      <c r="A39" s="6" t="s">
        <v>73</v>
      </c>
      <c r="B39" s="8" t="s">
        <v>141</v>
      </c>
      <c r="C39" s="8" t="s">
        <v>312</v>
      </c>
      <c r="D39" s="8" t="s">
        <v>318</v>
      </c>
      <c r="E39" s="8" t="s">
        <v>135</v>
      </c>
      <c r="F39" s="8" t="s">
        <v>319</v>
      </c>
      <c r="G39" s="8" t="s">
        <v>320</v>
      </c>
      <c r="H39" s="8"/>
      <c r="I39" s="8" t="s">
        <v>74</v>
      </c>
      <c r="J39" s="7" t="s">
        <v>321</v>
      </c>
      <c r="K39" s="8" t="s">
        <v>140</v>
      </c>
    </row>
    <row r="40" customFormat="false" ht="23.85" hidden="false" customHeight="false" outlineLevel="0" collapsed="false">
      <c r="A40" s="6" t="s">
        <v>75</v>
      </c>
      <c r="B40" s="8" t="s">
        <v>132</v>
      </c>
      <c r="C40" s="8" t="s">
        <v>322</v>
      </c>
      <c r="D40" s="8" t="s">
        <v>323</v>
      </c>
      <c r="E40" s="8" t="s">
        <v>135</v>
      </c>
      <c r="F40" s="8" t="s">
        <v>324</v>
      </c>
      <c r="G40" s="8" t="s">
        <v>325</v>
      </c>
      <c r="H40" s="8"/>
      <c r="I40" s="8" t="s">
        <v>76</v>
      </c>
      <c r="J40" s="7" t="s">
        <v>326</v>
      </c>
      <c r="K40" s="8" t="s">
        <v>140</v>
      </c>
    </row>
    <row r="41" customFormat="false" ht="23.85" hidden="false" customHeight="false" outlineLevel="0" collapsed="false">
      <c r="A41" s="6" t="s">
        <v>77</v>
      </c>
      <c r="B41" s="8" t="s">
        <v>141</v>
      </c>
      <c r="C41" s="8" t="s">
        <v>322</v>
      </c>
      <c r="D41" s="8" t="s">
        <v>327</v>
      </c>
      <c r="E41" s="8" t="s">
        <v>135</v>
      </c>
      <c r="F41" s="8" t="s">
        <v>328</v>
      </c>
      <c r="G41" s="8" t="s">
        <v>329</v>
      </c>
      <c r="H41" s="8"/>
      <c r="I41" s="8" t="s">
        <v>78</v>
      </c>
      <c r="J41" s="7" t="s">
        <v>330</v>
      </c>
      <c r="K41" s="8" t="s">
        <v>140</v>
      </c>
    </row>
    <row r="42" customFormat="false" ht="23.85" hidden="false" customHeight="false" outlineLevel="0" collapsed="false">
      <c r="A42" s="6" t="s">
        <v>79</v>
      </c>
      <c r="B42" s="8" t="s">
        <v>141</v>
      </c>
      <c r="C42" s="8" t="s">
        <v>193</v>
      </c>
      <c r="D42" s="8" t="s">
        <v>331</v>
      </c>
      <c r="E42" s="8" t="s">
        <v>135</v>
      </c>
      <c r="F42" s="8" t="s">
        <v>332</v>
      </c>
      <c r="G42" s="8" t="s">
        <v>333</v>
      </c>
      <c r="H42" s="8"/>
      <c r="I42" s="8" t="s">
        <v>80</v>
      </c>
      <c r="J42" s="7" t="s">
        <v>334</v>
      </c>
      <c r="K42" s="8" t="s">
        <v>140</v>
      </c>
    </row>
    <row r="43" customFormat="false" ht="23.85" hidden="false" customHeight="false" outlineLevel="0" collapsed="false">
      <c r="A43" s="6" t="s">
        <v>81</v>
      </c>
      <c r="B43" s="8" t="s">
        <v>141</v>
      </c>
      <c r="C43" s="8" t="s">
        <v>322</v>
      </c>
      <c r="D43" s="8" t="s">
        <v>335</v>
      </c>
      <c r="E43" s="8" t="s">
        <v>135</v>
      </c>
      <c r="F43" s="8" t="s">
        <v>336</v>
      </c>
      <c r="G43" s="8" t="s">
        <v>325</v>
      </c>
      <c r="H43" s="8"/>
      <c r="I43" s="8" t="s">
        <v>82</v>
      </c>
      <c r="J43" s="7" t="s">
        <v>337</v>
      </c>
      <c r="K43" s="8" t="s">
        <v>140</v>
      </c>
    </row>
    <row r="44" customFormat="false" ht="23.85" hidden="false" customHeight="false" outlineLevel="0" collapsed="false">
      <c r="A44" s="6" t="s">
        <v>83</v>
      </c>
      <c r="B44" s="8" t="s">
        <v>132</v>
      </c>
      <c r="C44" s="8" t="s">
        <v>338</v>
      </c>
      <c r="D44" s="8" t="s">
        <v>339</v>
      </c>
      <c r="E44" s="8" t="s">
        <v>135</v>
      </c>
      <c r="F44" s="8" t="s">
        <v>340</v>
      </c>
      <c r="G44" s="8" t="s">
        <v>341</v>
      </c>
      <c r="H44" s="8"/>
      <c r="I44" s="8" t="s">
        <v>84</v>
      </c>
      <c r="J44" s="7" t="s">
        <v>342</v>
      </c>
      <c r="K44" s="8" t="s">
        <v>140</v>
      </c>
    </row>
    <row r="45" customFormat="false" ht="23.85" hidden="false" customHeight="false" outlineLevel="0" collapsed="false">
      <c r="A45" s="6" t="s">
        <v>85</v>
      </c>
      <c r="B45" s="8" t="s">
        <v>132</v>
      </c>
      <c r="C45" s="8" t="s">
        <v>338</v>
      </c>
      <c r="D45" s="8" t="s">
        <v>343</v>
      </c>
      <c r="E45" s="8" t="s">
        <v>135</v>
      </c>
      <c r="F45" s="8" t="s">
        <v>344</v>
      </c>
      <c r="G45" s="8" t="s">
        <v>345</v>
      </c>
      <c r="H45" s="8"/>
      <c r="I45" s="8" t="s">
        <v>86</v>
      </c>
      <c r="J45" s="7" t="s">
        <v>346</v>
      </c>
      <c r="K45" s="8" t="s">
        <v>140</v>
      </c>
    </row>
    <row r="46" customFormat="false" ht="23.85" hidden="false" customHeight="false" outlineLevel="0" collapsed="false">
      <c r="A46" s="6" t="s">
        <v>87</v>
      </c>
      <c r="B46" s="8" t="s">
        <v>132</v>
      </c>
      <c r="C46" s="8" t="s">
        <v>347</v>
      </c>
      <c r="D46" s="8" t="s">
        <v>348</v>
      </c>
      <c r="E46" s="8" t="s">
        <v>135</v>
      </c>
      <c r="F46" s="8" t="s">
        <v>160</v>
      </c>
      <c r="G46" s="8" t="s">
        <v>349</v>
      </c>
      <c r="H46" s="8"/>
      <c r="I46" s="8" t="s">
        <v>88</v>
      </c>
      <c r="J46" s="7" t="s">
        <v>350</v>
      </c>
      <c r="K46" s="8" t="s">
        <v>140</v>
      </c>
    </row>
    <row r="47" customFormat="false" ht="23.85" hidden="false" customHeight="false" outlineLevel="0" collapsed="false">
      <c r="A47" s="6" t="s">
        <v>89</v>
      </c>
      <c r="B47" s="8" t="s">
        <v>141</v>
      </c>
      <c r="C47" s="8" t="s">
        <v>347</v>
      </c>
      <c r="D47" s="8" t="s">
        <v>351</v>
      </c>
      <c r="E47" s="8" t="s">
        <v>135</v>
      </c>
      <c r="F47" s="8" t="s">
        <v>352</v>
      </c>
      <c r="G47" s="8" t="s">
        <v>353</v>
      </c>
      <c r="H47" s="8"/>
      <c r="I47" s="8" t="s">
        <v>90</v>
      </c>
      <c r="J47" s="7" t="s">
        <v>354</v>
      </c>
      <c r="K47" s="8" t="s">
        <v>140</v>
      </c>
    </row>
    <row r="48" customFormat="false" ht="23.85" hidden="false" customHeight="false" outlineLevel="0" collapsed="false">
      <c r="A48" s="6" t="s">
        <v>91</v>
      </c>
      <c r="B48" s="8" t="s">
        <v>132</v>
      </c>
      <c r="C48" s="8" t="s">
        <v>347</v>
      </c>
      <c r="D48" s="8" t="s">
        <v>355</v>
      </c>
      <c r="E48" s="8" t="s">
        <v>135</v>
      </c>
      <c r="F48" s="8" t="s">
        <v>336</v>
      </c>
      <c r="G48" s="8" t="s">
        <v>356</v>
      </c>
      <c r="H48" s="8"/>
      <c r="I48" s="8" t="s">
        <v>92</v>
      </c>
      <c r="J48" s="7" t="s">
        <v>357</v>
      </c>
      <c r="K48" s="8" t="s">
        <v>140</v>
      </c>
    </row>
    <row r="49" customFormat="false" ht="23.85" hidden="false" customHeight="false" outlineLevel="0" collapsed="false">
      <c r="A49" s="6" t="s">
        <v>93</v>
      </c>
      <c r="B49" s="8" t="s">
        <v>141</v>
      </c>
      <c r="C49" s="8" t="s">
        <v>347</v>
      </c>
      <c r="D49" s="8" t="s">
        <v>358</v>
      </c>
      <c r="E49" s="8" t="s">
        <v>135</v>
      </c>
      <c r="F49" s="8" t="s">
        <v>359</v>
      </c>
      <c r="G49" s="8" t="s">
        <v>360</v>
      </c>
      <c r="H49" s="8"/>
      <c r="I49" s="8" t="s">
        <v>94</v>
      </c>
      <c r="J49" s="7" t="s">
        <v>361</v>
      </c>
      <c r="K49" s="8" t="s">
        <v>140</v>
      </c>
    </row>
    <row r="50" customFormat="false" ht="23.85" hidden="false" customHeight="false" outlineLevel="0" collapsed="false">
      <c r="A50" s="6" t="s">
        <v>95</v>
      </c>
      <c r="B50" s="8" t="s">
        <v>132</v>
      </c>
      <c r="C50" s="8" t="s">
        <v>347</v>
      </c>
      <c r="D50" s="8" t="s">
        <v>362</v>
      </c>
      <c r="E50" s="8" t="s">
        <v>135</v>
      </c>
      <c r="F50" s="8" t="s">
        <v>336</v>
      </c>
      <c r="G50" s="8" t="s">
        <v>363</v>
      </c>
      <c r="H50" s="8"/>
      <c r="I50" s="8" t="s">
        <v>96</v>
      </c>
      <c r="J50" s="7" t="s">
        <v>364</v>
      </c>
      <c r="K50" s="8" t="s">
        <v>140</v>
      </c>
    </row>
    <row r="51" customFormat="false" ht="23.85" hidden="false" customHeight="false" outlineLevel="0" collapsed="false">
      <c r="A51" s="6" t="s">
        <v>97</v>
      </c>
      <c r="B51" s="8" t="s">
        <v>141</v>
      </c>
      <c r="C51" s="8" t="s">
        <v>347</v>
      </c>
      <c r="D51" s="8" t="s">
        <v>365</v>
      </c>
      <c r="E51" s="8" t="s">
        <v>135</v>
      </c>
      <c r="F51" s="8" t="s">
        <v>366</v>
      </c>
      <c r="G51" s="8" t="s">
        <v>367</v>
      </c>
      <c r="H51" s="8"/>
      <c r="I51" s="8" t="s">
        <v>94</v>
      </c>
      <c r="J51" s="7" t="s">
        <v>368</v>
      </c>
      <c r="K51" s="8" t="s">
        <v>140</v>
      </c>
    </row>
    <row r="52" customFormat="false" ht="69.15" hidden="false" customHeight="false" outlineLevel="0" collapsed="false">
      <c r="A52" s="6" t="s">
        <v>369</v>
      </c>
      <c r="B52" s="8" t="s">
        <v>141</v>
      </c>
      <c r="C52" s="8" t="s">
        <v>347</v>
      </c>
      <c r="D52" s="8" t="s">
        <v>370</v>
      </c>
      <c r="E52" s="8" t="s">
        <v>168</v>
      </c>
      <c r="F52" s="8" t="s">
        <v>371</v>
      </c>
      <c r="G52" s="8" t="s">
        <v>372</v>
      </c>
      <c r="H52" s="8"/>
      <c r="I52" s="8" t="s">
        <v>373</v>
      </c>
      <c r="J52" s="7" t="s">
        <v>374</v>
      </c>
      <c r="K52" s="8" t="s">
        <v>173</v>
      </c>
    </row>
    <row r="53" customFormat="false" ht="23.85" hidden="false" customHeight="false" outlineLevel="0" collapsed="false">
      <c r="A53" s="6" t="s">
        <v>98</v>
      </c>
      <c r="B53" s="8" t="s">
        <v>132</v>
      </c>
      <c r="C53" s="8" t="s">
        <v>375</v>
      </c>
      <c r="D53" s="8" t="s">
        <v>376</v>
      </c>
      <c r="E53" s="8" t="s">
        <v>135</v>
      </c>
      <c r="F53" s="8" t="s">
        <v>160</v>
      </c>
      <c r="G53" s="8" t="s">
        <v>377</v>
      </c>
      <c r="H53" s="8" t="s">
        <v>378</v>
      </c>
      <c r="I53" s="8" t="s">
        <v>99</v>
      </c>
      <c r="J53" s="7" t="s">
        <v>379</v>
      </c>
      <c r="K53" s="8" t="s">
        <v>140</v>
      </c>
    </row>
    <row r="54" customFormat="false" ht="23.85" hidden="false" customHeight="false" outlineLevel="0" collapsed="false">
      <c r="A54" s="6" t="s">
        <v>100</v>
      </c>
      <c r="B54" s="8" t="s">
        <v>132</v>
      </c>
      <c r="C54" s="8" t="s">
        <v>375</v>
      </c>
      <c r="D54" s="8" t="s">
        <v>380</v>
      </c>
      <c r="E54" s="8" t="s">
        <v>135</v>
      </c>
      <c r="F54" s="8" t="s">
        <v>160</v>
      </c>
      <c r="G54" s="8" t="s">
        <v>381</v>
      </c>
      <c r="H54" s="8" t="s">
        <v>382</v>
      </c>
      <c r="I54" s="8" t="s">
        <v>101</v>
      </c>
      <c r="J54" s="7" t="s">
        <v>383</v>
      </c>
      <c r="K54" s="8" t="s">
        <v>140</v>
      </c>
    </row>
    <row r="55" customFormat="false" ht="35.05" hidden="false" customHeight="false" outlineLevel="0" collapsed="false">
      <c r="A55" s="6" t="s">
        <v>384</v>
      </c>
      <c r="B55" s="8" t="s">
        <v>141</v>
      </c>
      <c r="C55" s="8" t="s">
        <v>375</v>
      </c>
      <c r="D55" s="8" t="s">
        <v>385</v>
      </c>
      <c r="E55" s="8" t="s">
        <v>168</v>
      </c>
      <c r="F55" s="8" t="s">
        <v>160</v>
      </c>
      <c r="G55" s="8" t="s">
        <v>386</v>
      </c>
      <c r="H55" s="8" t="s">
        <v>387</v>
      </c>
      <c r="I55" s="8" t="s">
        <v>388</v>
      </c>
      <c r="J55" s="7" t="s">
        <v>389</v>
      </c>
      <c r="K55" s="8" t="s">
        <v>173</v>
      </c>
    </row>
    <row r="56" customFormat="false" ht="23.85" hidden="false" customHeight="false" outlineLevel="0" collapsed="false">
      <c r="A56" s="6" t="s">
        <v>102</v>
      </c>
      <c r="B56" s="8" t="s">
        <v>141</v>
      </c>
      <c r="C56" s="8" t="s">
        <v>375</v>
      </c>
      <c r="D56" s="8" t="s">
        <v>390</v>
      </c>
      <c r="E56" s="8" t="s">
        <v>135</v>
      </c>
      <c r="F56" s="8"/>
      <c r="G56" s="8" t="s">
        <v>391</v>
      </c>
      <c r="H56" s="8"/>
      <c r="I56" s="8" t="s">
        <v>103</v>
      </c>
      <c r="J56" s="7" t="s">
        <v>392</v>
      </c>
      <c r="K56" s="8" t="s">
        <v>140</v>
      </c>
    </row>
    <row r="57" customFormat="false" ht="35.05" hidden="false" customHeight="false" outlineLevel="0" collapsed="false">
      <c r="A57" s="6" t="s">
        <v>104</v>
      </c>
      <c r="B57" s="8" t="s">
        <v>132</v>
      </c>
      <c r="C57" s="8" t="s">
        <v>375</v>
      </c>
      <c r="D57" s="8" t="s">
        <v>393</v>
      </c>
      <c r="E57" s="8" t="s">
        <v>135</v>
      </c>
      <c r="F57" s="8" t="s">
        <v>394</v>
      </c>
      <c r="G57" s="8" t="s">
        <v>395</v>
      </c>
      <c r="H57" s="8"/>
      <c r="I57" s="8" t="s">
        <v>105</v>
      </c>
      <c r="J57" s="7" t="s">
        <v>396</v>
      </c>
      <c r="K57" s="8" t="s">
        <v>140</v>
      </c>
    </row>
    <row r="58" customFormat="false" ht="35.05" hidden="false" customHeight="false" outlineLevel="0" collapsed="false">
      <c r="A58" s="6" t="s">
        <v>106</v>
      </c>
      <c r="B58" s="8" t="s">
        <v>141</v>
      </c>
      <c r="C58" s="8" t="s">
        <v>397</v>
      </c>
      <c r="D58" s="8" t="s">
        <v>398</v>
      </c>
      <c r="E58" s="8" t="s">
        <v>135</v>
      </c>
      <c r="F58" s="8" t="s">
        <v>399</v>
      </c>
      <c r="G58" s="8" t="s">
        <v>400</v>
      </c>
      <c r="H58" s="8"/>
      <c r="I58" s="8" t="s">
        <v>107</v>
      </c>
      <c r="J58" s="7" t="s">
        <v>401</v>
      </c>
      <c r="K58" s="8" t="s">
        <v>140</v>
      </c>
    </row>
    <row r="59" customFormat="false" ht="57.85" hidden="false" customHeight="false" outlineLevel="0" collapsed="false">
      <c r="A59" s="6" t="s">
        <v>402</v>
      </c>
      <c r="B59" s="8" t="s">
        <v>132</v>
      </c>
      <c r="C59" s="8" t="s">
        <v>403</v>
      </c>
      <c r="D59" s="8" t="s">
        <v>404</v>
      </c>
      <c r="E59" s="8" t="s">
        <v>168</v>
      </c>
      <c r="F59" s="8" t="s">
        <v>405</v>
      </c>
      <c r="G59" s="8" t="s">
        <v>406</v>
      </c>
      <c r="H59" s="8"/>
      <c r="I59" s="8" t="s">
        <v>407</v>
      </c>
      <c r="J59" s="7" t="s">
        <v>408</v>
      </c>
      <c r="K59" s="8" t="s">
        <v>173</v>
      </c>
    </row>
    <row r="60" customFormat="false" ht="35.05" hidden="false" customHeight="false" outlineLevel="0" collapsed="false">
      <c r="A60" s="6" t="s">
        <v>108</v>
      </c>
      <c r="B60" s="8" t="s">
        <v>141</v>
      </c>
      <c r="C60" s="8" t="s">
        <v>403</v>
      </c>
      <c r="D60" s="8" t="s">
        <v>409</v>
      </c>
      <c r="E60" s="8" t="s">
        <v>135</v>
      </c>
      <c r="F60" s="8"/>
      <c r="G60" s="8" t="s">
        <v>410</v>
      </c>
      <c r="H60" s="8"/>
      <c r="I60" s="8" t="s">
        <v>109</v>
      </c>
      <c r="J60" s="7" t="s">
        <v>411</v>
      </c>
      <c r="K60" s="8" t="s">
        <v>140</v>
      </c>
    </row>
    <row r="61" customFormat="false" ht="35.05" hidden="false" customHeight="false" outlineLevel="0" collapsed="false">
      <c r="A61" s="6" t="s">
        <v>110</v>
      </c>
      <c r="B61" s="8" t="s">
        <v>132</v>
      </c>
      <c r="C61" s="8" t="s">
        <v>403</v>
      </c>
      <c r="D61" s="8" t="s">
        <v>412</v>
      </c>
      <c r="E61" s="8" t="s">
        <v>135</v>
      </c>
      <c r="F61" s="8" t="s">
        <v>160</v>
      </c>
      <c r="G61" s="8" t="s">
        <v>413</v>
      </c>
      <c r="H61" s="8"/>
      <c r="I61" s="8" t="s">
        <v>111</v>
      </c>
      <c r="J61" s="7" t="s">
        <v>414</v>
      </c>
      <c r="K61" s="8" t="s">
        <v>140</v>
      </c>
    </row>
    <row r="62" customFormat="false" ht="35.05" hidden="false" customHeight="false" outlineLevel="0" collapsed="false">
      <c r="A62" s="6" t="s">
        <v>112</v>
      </c>
      <c r="B62" s="8" t="s">
        <v>141</v>
      </c>
      <c r="C62" s="8" t="s">
        <v>415</v>
      </c>
      <c r="D62" s="8" t="s">
        <v>416</v>
      </c>
      <c r="E62" s="8" t="s">
        <v>135</v>
      </c>
      <c r="F62" s="8" t="s">
        <v>417</v>
      </c>
      <c r="G62" s="8" t="s">
        <v>418</v>
      </c>
      <c r="H62" s="8" t="s">
        <v>419</v>
      </c>
      <c r="I62" s="8" t="s">
        <v>113</v>
      </c>
      <c r="J62" s="7" t="s">
        <v>420</v>
      </c>
      <c r="K62" s="8" t="s">
        <v>140</v>
      </c>
    </row>
    <row r="63" customFormat="false" ht="46.25" hidden="false" customHeight="false" outlineLevel="0" collapsed="false">
      <c r="A63" s="6" t="s">
        <v>114</v>
      </c>
      <c r="B63" s="8" t="s">
        <v>141</v>
      </c>
      <c r="C63" s="8" t="s">
        <v>415</v>
      </c>
      <c r="D63" s="8" t="s">
        <v>421</v>
      </c>
      <c r="E63" s="8" t="s">
        <v>135</v>
      </c>
      <c r="F63" s="8" t="s">
        <v>422</v>
      </c>
      <c r="G63" s="8" t="s">
        <v>423</v>
      </c>
      <c r="H63" s="8" t="s">
        <v>424</v>
      </c>
      <c r="I63" s="8" t="s">
        <v>115</v>
      </c>
      <c r="J63" s="7" t="s">
        <v>425</v>
      </c>
      <c r="K63" s="8" t="s">
        <v>140</v>
      </c>
    </row>
    <row r="64" customFormat="false" ht="69.15" hidden="false" customHeight="false" outlineLevel="0" collapsed="false">
      <c r="A64" s="6" t="s">
        <v>116</v>
      </c>
      <c r="B64" s="8" t="s">
        <v>141</v>
      </c>
      <c r="C64" s="8" t="s">
        <v>415</v>
      </c>
      <c r="D64" s="8" t="s">
        <v>426</v>
      </c>
      <c r="E64" s="8" t="s">
        <v>135</v>
      </c>
      <c r="F64" s="8" t="s">
        <v>427</v>
      </c>
      <c r="G64" s="8" t="s">
        <v>428</v>
      </c>
      <c r="H64" s="8" t="s">
        <v>429</v>
      </c>
      <c r="I64" s="8" t="s">
        <v>117</v>
      </c>
      <c r="J64" s="7" t="s">
        <v>430</v>
      </c>
      <c r="K64" s="8" t="s">
        <v>140</v>
      </c>
    </row>
    <row r="65" customFormat="false" ht="69.15" hidden="false" customHeight="false" outlineLevel="0" collapsed="false">
      <c r="A65" s="6" t="s">
        <v>118</v>
      </c>
      <c r="B65" s="8" t="s">
        <v>141</v>
      </c>
      <c r="C65" s="8" t="s">
        <v>415</v>
      </c>
      <c r="D65" s="8" t="s">
        <v>431</v>
      </c>
      <c r="E65" s="8" t="s">
        <v>135</v>
      </c>
      <c r="F65" s="8" t="s">
        <v>432</v>
      </c>
      <c r="G65" s="8" t="s">
        <v>433</v>
      </c>
      <c r="H65" s="8" t="s">
        <v>434</v>
      </c>
      <c r="I65" s="8" t="s">
        <v>119</v>
      </c>
      <c r="J65" s="7" t="s">
        <v>435</v>
      </c>
      <c r="K65" s="8" t="s">
        <v>140</v>
      </c>
    </row>
    <row r="66" customFormat="false" ht="35.05" hidden="false" customHeight="false" outlineLevel="0" collapsed="false">
      <c r="A66" s="6" t="s">
        <v>120</v>
      </c>
      <c r="B66" s="8" t="s">
        <v>141</v>
      </c>
      <c r="C66" s="8" t="s">
        <v>415</v>
      </c>
      <c r="D66" s="8" t="s">
        <v>436</v>
      </c>
      <c r="E66" s="8" t="s">
        <v>135</v>
      </c>
      <c r="F66" s="8" t="s">
        <v>437</v>
      </c>
      <c r="G66" s="8" t="s">
        <v>438</v>
      </c>
      <c r="H66" s="8"/>
      <c r="I66" s="8" t="s">
        <v>121</v>
      </c>
      <c r="J66" s="7" t="s">
        <v>439</v>
      </c>
      <c r="K66" s="8" t="s">
        <v>140</v>
      </c>
    </row>
  </sheetData>
  <autoFilter ref="A1:K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I2:I66 A1"/>
    </sheetView>
  </sheetViews>
  <sheetFormatPr defaultColWidth="8.6796875" defaultRowHeight="15" customHeight="false" zeroHeight="false" outlineLevelRow="0" outlineLevelCol="0"/>
  <cols>
    <col collapsed="false" customWidth="true" hidden="false" outlineLevel="0" max="1" min="1" style="1" width="62"/>
    <col collapsed="false" customWidth="true" hidden="false" outlineLevel="0" max="2" min="2" style="1" width="12"/>
  </cols>
  <sheetData>
    <row r="1" customFormat="false" ht="15" hidden="false" customHeight="false" outlineLevel="0" collapsed="false">
      <c r="A1" s="9" t="s">
        <v>440</v>
      </c>
      <c r="B1" s="10"/>
    </row>
    <row r="2" customFormat="false" ht="15" hidden="false" customHeight="false" outlineLevel="0" collapsed="false">
      <c r="B2" s="10"/>
    </row>
    <row r="3" customFormat="false" ht="15" hidden="false" customHeight="false" outlineLevel="0" collapsed="false">
      <c r="A3" s="11" t="s">
        <v>15</v>
      </c>
      <c r="B3" s="12" t="s">
        <v>441</v>
      </c>
    </row>
    <row r="4" customFormat="false" ht="15" hidden="false" customHeight="false" outlineLevel="0" collapsed="false">
      <c r="A4" s="13" t="s">
        <v>21</v>
      </c>
      <c r="B4" s="14" t="n">
        <f aca="false">COUNTIF(Execution!$C$2:$C$66,"Pass")</f>
        <v>51</v>
      </c>
    </row>
    <row r="5" customFormat="false" ht="15" hidden="false" customHeight="false" outlineLevel="0" collapsed="false">
      <c r="A5" s="13" t="s">
        <v>442</v>
      </c>
      <c r="B5" s="14" t="n">
        <f aca="false">COUNTIF(Execution!$C$2:$C$66,"Fail")</f>
        <v>0</v>
      </c>
    </row>
    <row r="6" customFormat="false" ht="15" hidden="false" customHeight="false" outlineLevel="0" collapsed="false">
      <c r="A6" s="13" t="s">
        <v>443</v>
      </c>
      <c r="B6" s="14" t="n">
        <f aca="false">COUNTIF(Execution!$C$2:$C$66,"Blocked")</f>
        <v>0</v>
      </c>
    </row>
    <row r="7" customFormat="false" ht="15" hidden="false" customHeight="false" outlineLevel="0" collapsed="false">
      <c r="A7" s="13" t="s">
        <v>444</v>
      </c>
      <c r="B7" s="14" t="n">
        <f aca="false">COUNTIF(Execution!$C$2:$C$66,"Not Executed")</f>
        <v>0</v>
      </c>
    </row>
    <row r="8" customFormat="false" ht="15" hidden="false" customHeight="false" outlineLevel="0" collapsed="false">
      <c r="A8" s="15" t="s">
        <v>445</v>
      </c>
      <c r="B8" s="16" t="n">
        <f aca="false">COUNTA(Execution!$A$2:$A$66)</f>
        <v>51</v>
      </c>
    </row>
    <row r="9" customFormat="false" ht="15" hidden="false" customHeight="false" outlineLevel="0" collapsed="false">
      <c r="A9" s="13" t="s">
        <v>446</v>
      </c>
      <c r="B9" s="14" t="n">
        <f aca="false">B4+B5+B6</f>
        <v>51</v>
      </c>
    </row>
    <row r="10" customFormat="false" ht="15" hidden="false" customHeight="false" outlineLevel="0" collapsed="false">
      <c r="A10" s="13" t="s">
        <v>447</v>
      </c>
      <c r="B10" s="17" t="n">
        <f aca="false">IF(B8=0,0,B9/B8)</f>
        <v>1</v>
      </c>
    </row>
    <row r="11" customFormat="false" ht="15" hidden="false" customHeight="false" outlineLevel="0" collapsed="false">
      <c r="B11" s="10"/>
    </row>
    <row r="12" customFormat="false" ht="15" hidden="false" customHeight="false" outlineLevel="0" collapsed="false">
      <c r="A12" s="11" t="s">
        <v>448</v>
      </c>
      <c r="B12" s="18"/>
    </row>
    <row r="13" customFormat="false" ht="15" hidden="false" customHeight="false" outlineLevel="0" collapsed="false">
      <c r="A13" s="13" t="s">
        <v>449</v>
      </c>
      <c r="B13" s="14" t="n">
        <f aca="false">COUNTIF(Guide!$B$2:$B$66,"P1")</f>
        <v>30</v>
      </c>
    </row>
    <row r="14" customFormat="false" ht="15" hidden="false" customHeight="false" outlineLevel="0" collapsed="false">
      <c r="A14" s="13" t="s">
        <v>450</v>
      </c>
      <c r="B14" s="14" t="n">
        <f aca="false">SUMPRODUCT((Guide!$B$2:$B$66="P1")*(Execution!$C$2:$C$66&lt;&gt;"Not Executed"))</f>
        <v>30</v>
      </c>
    </row>
    <row r="15" customFormat="false" ht="15" hidden="false" customHeight="false" outlineLevel="0" collapsed="false">
      <c r="A15" s="13" t="s">
        <v>451</v>
      </c>
      <c r="B15" s="14" t="n">
        <f aca="false">B13-B14</f>
        <v>0</v>
      </c>
    </row>
    <row r="16" customFormat="false" ht="15" hidden="false" customHeight="false" outlineLevel="0" collapsed="false">
      <c r="B16" s="10"/>
    </row>
    <row r="17" customFormat="false" ht="15" hidden="false" customHeight="false" outlineLevel="0" collapsed="false">
      <c r="A17" s="11" t="s">
        <v>452</v>
      </c>
      <c r="B17" s="18"/>
    </row>
    <row r="18" customFormat="false" ht="15" hidden="false" customHeight="false" outlineLevel="0" collapsed="false">
      <c r="A18" s="13" t="s">
        <v>453</v>
      </c>
      <c r="B18" s="14" t="e">
        <f aca="false">SUMPRODUCT((Execution!$C$2:$C$66&lt;&gt;"Not Executed")*(((Execution!$D$2:$D$66="")+(#REF!="")+(#REF!=""))&gt;0))</f>
        <v>#REF!</v>
      </c>
    </row>
    <row r="19" customFormat="false" ht="15" hidden="false" customHeight="false" outlineLevel="0" collapsed="false">
      <c r="A19" s="13" t="s">
        <v>454</v>
      </c>
      <c r="B19" s="14" t="e">
        <f aca="false">SUMPRODUCT((Execution!$C$2:$C$66="Not Executed")*(((Execution!$D$2:$D$66&lt;&gt;"")+(Execution!$E$2:$E$66&lt;&gt;"")+(Execution!$F$2:$F$66&lt;&gt;"")+(#REF!&lt;&gt;"")+(#REF!&lt;&gt;"")+(#REF!&lt;&gt;""))&gt;0))</f>
        <v>#REF!</v>
      </c>
    </row>
    <row r="20" customFormat="false" ht="15" hidden="false" customHeight="false" outlineLevel="0" collapsed="false">
      <c r="A20" s="13" t="s">
        <v>455</v>
      </c>
      <c r="B20" s="14" t="n">
        <f aca="false">SUMPRODUCT((Execution!$C$2:$C$66="Fail")*(Execution!$F$2:$F$66=""))</f>
        <v>0</v>
      </c>
    </row>
    <row r="21" customFormat="false" ht="15" hidden="false" customHeight="false" outlineLevel="0" collapsed="false">
      <c r="A21" s="13" t="s">
        <v>456</v>
      </c>
      <c r="B21" s="14" t="n">
        <f aca="false">SUMPRODUCT(((Execution!$C$2:$C$66="Not Executed")*(Execution!$B$2:$B$66&lt;&gt;"N"))+((Execution!$C$2:$C$66&lt;&gt;"Not Executed")*(Execution!$B$2:$B$66&lt;&gt;"Y")))</f>
        <v>14</v>
      </c>
    </row>
    <row r="22" customFormat="false" ht="15" hidden="false" customHeight="false" outlineLevel="0" collapsed="false">
      <c r="A22" s="13" t="s">
        <v>457</v>
      </c>
      <c r="B22" s="14" t="n">
        <f aca="false">SUMPRODUCT((Execution!$C$2:$C$66&lt;&gt;"Not Executed")*(Execution!$E$2:$E$66=""))</f>
        <v>65</v>
      </c>
    </row>
    <row r="23" customFormat="false" ht="15" hidden="false" customHeight="false" outlineLevel="0" collapsed="false">
      <c r="B23" s="10"/>
    </row>
    <row r="24" customFormat="false" ht="15" hidden="false" customHeight="false" outlineLevel="0" collapsed="false">
      <c r="A24" s="15"/>
      <c r="B24"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I2:I66 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20"/>
    <col collapsed="false" customWidth="true" hidden="false" outlineLevel="0" max="4" min="4" style="1" width="51"/>
    <col collapsed="false" customWidth="true" hidden="false" outlineLevel="0" max="5" min="5" style="1" width="32"/>
    <col collapsed="false" customWidth="true" hidden="false" outlineLevel="0" max="6" min="6" style="1" width="18"/>
    <col collapsed="false" customWidth="true" hidden="false" outlineLevel="0" max="7" min="7" style="1" width="22"/>
    <col collapsed="false" customWidth="true" hidden="false" outlineLevel="0" max="8" min="8" style="1" width="18"/>
    <col collapsed="false" customWidth="true" hidden="false" outlineLevel="0" max="9" min="9" style="1" width="34"/>
  </cols>
  <sheetData>
    <row r="1" customFormat="false" ht="15" hidden="false" customHeight="false" outlineLevel="0" collapsed="false">
      <c r="A1" s="19" t="s">
        <v>13</v>
      </c>
      <c r="B1" s="19" t="s">
        <v>14</v>
      </c>
      <c r="C1" s="19" t="s">
        <v>15</v>
      </c>
      <c r="D1" s="19" t="s">
        <v>16</v>
      </c>
      <c r="E1" s="19" t="s">
        <v>17</v>
      </c>
      <c r="F1" s="19" t="s">
        <v>18</v>
      </c>
      <c r="G1" s="19" t="s">
        <v>458</v>
      </c>
      <c r="H1" s="19" t="s">
        <v>459</v>
      </c>
      <c r="I1" s="19" t="s">
        <v>460</v>
      </c>
    </row>
    <row r="2" customFormat="false" ht="23.85" hidden="false" customHeight="false" outlineLevel="0" collapsed="false">
      <c r="A2" s="3" t="s">
        <v>461</v>
      </c>
      <c r="B2" s="3" t="s">
        <v>20</v>
      </c>
      <c r="C2" s="3" t="s">
        <v>21</v>
      </c>
      <c r="D2" s="3" t="s">
        <v>462</v>
      </c>
      <c r="E2" s="3" t="s">
        <v>463</v>
      </c>
      <c r="F2" s="3"/>
      <c r="G2" s="3" t="s">
        <v>464</v>
      </c>
      <c r="H2" s="3" t="s">
        <v>465</v>
      </c>
      <c r="I2" s="3" t="s">
        <v>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2026-10-26T16:18:12Z</dcterms:created>
  <dc:creator>openpyxl</dc:creator>
  <dc:description/>
  <dc:language>en-US</dc:language>
  <cp:lastModifiedBy/>
  <dcterms:modified xsi:type="dcterms:W3CDTF">2026-10-26T22:33:29Z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